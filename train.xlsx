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slicers/slicer1.xml" ContentType="application/vnd.ms-excel.slicer+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Ex3.xml" ContentType="application/vnd.ms-office.chartex+xml"/>
  <Override PartName="/xl/charts/style4.xml" ContentType="application/vnd.ms-office.chartstyle+xml"/>
  <Override PartName="/xl/charts/colors4.xml" ContentType="application/vnd.ms-office.chartcolorstyle+xml"/>
  <Override PartName="/xl/charts/chartEx4.xml" ContentType="application/vnd.ms-office.chartex+xml"/>
  <Override PartName="/xl/charts/style5.xml" ContentType="application/vnd.ms-office.chartstyle+xml"/>
  <Override PartName="/xl/charts/colors5.xml" ContentType="application/vnd.ms-office.chartcolorstyle+xml"/>
  <Override PartName="/xl/charts/chart2.xml" ContentType="application/vnd.openxmlformats-officedocument.drawingml.chart+xml"/>
  <Override PartName="/xl/charts/style6.xml" ContentType="application/vnd.ms-office.chartstyle+xml"/>
  <Override PartName="/xl/charts/colors6.xml" ContentType="application/vnd.ms-office.chartcolorstyle+xml"/>
  <Override PartName="/xl/charts/chart3.xml" ContentType="application/vnd.openxmlformats-officedocument.drawingml.chart+xml"/>
  <Override PartName="/xl/charts/style7.xml" ContentType="application/vnd.ms-office.chartstyle+xml"/>
  <Override PartName="/xl/charts/colors7.xml" ContentType="application/vnd.ms-office.chartcolorstyle+xml"/>
  <Override PartName="/xl/charts/chart4.xml" ContentType="application/vnd.openxmlformats-officedocument.drawingml.chart+xml"/>
  <Override PartName="/xl/tables/table2.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yesha Ashraf\Desktop\"/>
    </mc:Choice>
  </mc:AlternateContent>
  <xr:revisionPtr revIDLastSave="0" documentId="13_ncr:1_{CF808DB5-53B5-44A8-9312-93978F6024A2}" xr6:coauthVersionLast="47" xr6:coauthVersionMax="47" xr10:uidLastSave="{00000000-0000-0000-0000-000000000000}"/>
  <bookViews>
    <workbookView xWindow="-110" yWindow="-110" windowWidth="19420" windowHeight="10300" tabRatio="672" firstSheet="5" activeTab="6" xr2:uid="{00000000-000D-0000-FFFF-FFFF00000000}"/>
  </bookViews>
  <sheets>
    <sheet name="Descriptive_stats_train" sheetId="3" r:id="rId1"/>
    <sheet name="Corr_matrix_train" sheetId="19" r:id="rId2"/>
    <sheet name="Corr_matrix_test" sheetId="20" r:id="rId3"/>
    <sheet name="descriptive-stats_test" sheetId="10" r:id="rId4"/>
    <sheet name="RA_1_LoanTerm" sheetId="23" r:id="rId5"/>
    <sheet name="Insights and Recommendations" sheetId="26" r:id="rId6"/>
    <sheet name="RA_2_Total_Income" sheetId="24" r:id="rId7"/>
    <sheet name="train" sheetId="1" r:id="rId8"/>
    <sheet name="Visualizations" sheetId="25" r:id="rId9"/>
    <sheet name="test" sheetId="2" r:id="rId10"/>
  </sheets>
  <definedNames>
    <definedName name="_xlchart.v1.0" hidden="1">RA_2_Total_Income!$A$24:$A$361</definedName>
    <definedName name="_xlchart.v1.1" hidden="1">RA_2_Total_Income!$B$24:$B$361</definedName>
    <definedName name="_xlchart.v1.2" hidden="1">train!$G$2:$G$339</definedName>
    <definedName name="_xlchart.v1.3" hidden="1">train!$H$1</definedName>
    <definedName name="_xlchart.v1.4" hidden="1">train!$H$2:$H$339</definedName>
    <definedName name="_xlchart.v1.5" hidden="1">train!$I$1</definedName>
    <definedName name="_xlchart.v1.6" hidden="1">train!$I$2:$I$339</definedName>
    <definedName name="_xlchart.v1.7" hidden="1">train!$M$1</definedName>
    <definedName name="_xlchart.v1.8" hidden="1">train!$M$2:$M$339</definedName>
    <definedName name="_xlchart.v1.9" hidden="1">train!$H$2:$H$339</definedName>
    <definedName name="Slicer_Education">#N/A</definedName>
    <definedName name="Slicer_Gender">#N/A</definedName>
    <definedName name="Slicer_Married">#N/A</definedName>
  </definedNames>
  <calcPr calcId="191029" iterateDelta="1E-4"/>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4:slicerCache r:id="rId12"/>
        <x14:slicerCache r:id="rId1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O339" i="2" l="1"/>
  <c r="M339" i="2"/>
  <c r="N339" i="2" s="1"/>
  <c r="O338" i="2"/>
  <c r="M338" i="2"/>
  <c r="P338" i="2" s="1"/>
  <c r="P337" i="2"/>
  <c r="O337" i="2"/>
  <c r="N337" i="2"/>
  <c r="M337" i="2"/>
  <c r="O336" i="2"/>
  <c r="M336" i="2"/>
  <c r="O335" i="2"/>
  <c r="M335" i="2"/>
  <c r="P335" i="2" s="1"/>
  <c r="P334" i="2"/>
  <c r="O334" i="2"/>
  <c r="N334" i="2"/>
  <c r="M334" i="2"/>
  <c r="P333" i="2"/>
  <c r="O333" i="2"/>
  <c r="M333" i="2"/>
  <c r="N333" i="2" s="1"/>
  <c r="O332" i="2"/>
  <c r="M332" i="2"/>
  <c r="P332" i="2" s="1"/>
  <c r="O331" i="2"/>
  <c r="M331" i="2"/>
  <c r="P331" i="2" s="1"/>
  <c r="P330" i="2"/>
  <c r="O330" i="2"/>
  <c r="M330" i="2"/>
  <c r="N330" i="2" s="1"/>
  <c r="O329" i="2"/>
  <c r="M329" i="2"/>
  <c r="P329" i="2" s="1"/>
  <c r="P328" i="2"/>
  <c r="O328" i="2"/>
  <c r="N328" i="2"/>
  <c r="M328" i="2"/>
  <c r="P327" i="2"/>
  <c r="O327" i="2"/>
  <c r="M327" i="2"/>
  <c r="N327" i="2" s="1"/>
  <c r="O326" i="2"/>
  <c r="M326" i="2"/>
  <c r="P326" i="2" s="1"/>
  <c r="O325" i="2"/>
  <c r="M325" i="2"/>
  <c r="P325" i="2" s="1"/>
  <c r="P324" i="2"/>
  <c r="O324" i="2"/>
  <c r="M324" i="2"/>
  <c r="N324" i="2" s="1"/>
  <c r="O323" i="2"/>
  <c r="M323" i="2"/>
  <c r="P322" i="2"/>
  <c r="O322" i="2"/>
  <c r="N322" i="2"/>
  <c r="M322" i="2"/>
  <c r="O321" i="2"/>
  <c r="M321" i="2"/>
  <c r="N321" i="2" s="1"/>
  <c r="O320" i="2"/>
  <c r="N320" i="2"/>
  <c r="M320" i="2"/>
  <c r="P320" i="2" s="1"/>
  <c r="O319" i="2"/>
  <c r="M319" i="2"/>
  <c r="P319" i="2" s="1"/>
  <c r="P318" i="2"/>
  <c r="O318" i="2"/>
  <c r="M318" i="2"/>
  <c r="N318" i="2" s="1"/>
  <c r="O317" i="2"/>
  <c r="M317" i="2"/>
  <c r="P317" i="2" s="1"/>
  <c r="O316" i="2"/>
  <c r="M316" i="2"/>
  <c r="P316" i="2" s="1"/>
  <c r="O315" i="2"/>
  <c r="M315" i="2"/>
  <c r="N315" i="2" s="1"/>
  <c r="O314" i="2"/>
  <c r="N314" i="2"/>
  <c r="M314" i="2"/>
  <c r="P314" i="2" s="1"/>
  <c r="O313" i="2"/>
  <c r="M313" i="2"/>
  <c r="P313" i="2" s="1"/>
  <c r="O312" i="2"/>
  <c r="M312" i="2"/>
  <c r="N312" i="2" s="1"/>
  <c r="O311" i="2"/>
  <c r="M311" i="2"/>
  <c r="P311" i="2" s="1"/>
  <c r="P310" i="2"/>
  <c r="O310" i="2"/>
  <c r="N310" i="2"/>
  <c r="M310" i="2"/>
  <c r="O309" i="2"/>
  <c r="M309" i="2"/>
  <c r="O308" i="2"/>
  <c r="M308" i="2"/>
  <c r="P308" i="2" s="1"/>
  <c r="P307" i="2"/>
  <c r="O307" i="2"/>
  <c r="N307" i="2"/>
  <c r="M307" i="2"/>
  <c r="O306" i="2"/>
  <c r="M306" i="2"/>
  <c r="N306" i="2" s="1"/>
  <c r="O305" i="2"/>
  <c r="M305" i="2"/>
  <c r="O304" i="2"/>
  <c r="M304" i="2"/>
  <c r="P304" i="2" s="1"/>
  <c r="P303" i="2"/>
  <c r="O303" i="2"/>
  <c r="M303" i="2"/>
  <c r="N303" i="2" s="1"/>
  <c r="O302" i="2"/>
  <c r="M302" i="2"/>
  <c r="P302" i="2" s="1"/>
  <c r="O301" i="2"/>
  <c r="M301" i="2"/>
  <c r="O300" i="2"/>
  <c r="M300" i="2"/>
  <c r="N300" i="2" s="1"/>
  <c r="O299" i="2"/>
  <c r="M299" i="2"/>
  <c r="P299" i="2" s="1"/>
  <c r="O298" i="2"/>
  <c r="M298" i="2"/>
  <c r="O297" i="2"/>
  <c r="M297" i="2"/>
  <c r="N297" i="2" s="1"/>
  <c r="O296" i="2"/>
  <c r="M296" i="2"/>
  <c r="P296" i="2" s="1"/>
  <c r="P295" i="2"/>
  <c r="O295" i="2"/>
  <c r="N295" i="2"/>
  <c r="M295" i="2"/>
  <c r="O294" i="2"/>
  <c r="M294" i="2"/>
  <c r="O293" i="2"/>
  <c r="M293" i="2"/>
  <c r="P293" i="2" s="1"/>
  <c r="P292" i="2"/>
  <c r="O292" i="2"/>
  <c r="N292" i="2"/>
  <c r="M292" i="2"/>
  <c r="O291" i="2"/>
  <c r="M291" i="2"/>
  <c r="N291" i="2" s="1"/>
  <c r="O290" i="2"/>
  <c r="M290" i="2"/>
  <c r="P290" i="2" s="1"/>
  <c r="P289" i="2"/>
  <c r="O289" i="2"/>
  <c r="M289" i="2"/>
  <c r="N289" i="2" s="1"/>
  <c r="P288" i="2"/>
  <c r="O288" i="2"/>
  <c r="M288" i="2"/>
  <c r="N288" i="2" s="1"/>
  <c r="O287" i="2"/>
  <c r="M287" i="2"/>
  <c r="O286" i="2"/>
  <c r="M286" i="2"/>
  <c r="P286" i="2" s="1"/>
  <c r="P285" i="2"/>
  <c r="O285" i="2"/>
  <c r="M285" i="2"/>
  <c r="N285" i="2" s="1"/>
  <c r="O284" i="2"/>
  <c r="N284" i="2"/>
  <c r="M284" i="2"/>
  <c r="P284" i="2" s="1"/>
  <c r="O283" i="2"/>
  <c r="M283" i="2"/>
  <c r="P283" i="2" s="1"/>
  <c r="O282" i="2"/>
  <c r="M282" i="2"/>
  <c r="O281" i="2"/>
  <c r="M281" i="2"/>
  <c r="P281" i="2" s="1"/>
  <c r="O280" i="2"/>
  <c r="M280" i="2"/>
  <c r="N280" i="2" s="1"/>
  <c r="P279" i="2"/>
  <c r="O279" i="2"/>
  <c r="M279" i="2"/>
  <c r="N279" i="2" s="1"/>
  <c r="O278" i="2"/>
  <c r="M278" i="2"/>
  <c r="P278" i="2" s="1"/>
  <c r="O277" i="2"/>
  <c r="M277" i="2"/>
  <c r="P277" i="2" s="1"/>
  <c r="P276" i="2"/>
  <c r="O276" i="2"/>
  <c r="M276" i="2"/>
  <c r="N276" i="2" s="1"/>
  <c r="O275" i="2"/>
  <c r="M275" i="2"/>
  <c r="P275" i="2" s="1"/>
  <c r="O274" i="2"/>
  <c r="M274" i="2"/>
  <c r="P274" i="2" s="1"/>
  <c r="O273" i="2"/>
  <c r="M273" i="2"/>
  <c r="O272" i="2"/>
  <c r="M272" i="2"/>
  <c r="P272" i="2" s="1"/>
  <c r="P271" i="2"/>
  <c r="O271" i="2"/>
  <c r="N271" i="2"/>
  <c r="M271" i="2"/>
  <c r="O270" i="2"/>
  <c r="M270" i="2"/>
  <c r="N270" i="2" s="1"/>
  <c r="O269" i="2"/>
  <c r="M269" i="2"/>
  <c r="O268" i="2"/>
  <c r="M268" i="2"/>
  <c r="N268" i="2" s="1"/>
  <c r="O267" i="2"/>
  <c r="M267" i="2"/>
  <c r="N267" i="2" s="1"/>
  <c r="O266" i="2"/>
  <c r="N266" i="2"/>
  <c r="M266" i="2"/>
  <c r="P266" i="2" s="1"/>
  <c r="O265" i="2"/>
  <c r="M265" i="2"/>
  <c r="P265" i="2" s="1"/>
  <c r="O264" i="2"/>
  <c r="M264" i="2"/>
  <c r="O263" i="2"/>
  <c r="M263" i="2"/>
  <c r="P263" i="2" s="1"/>
  <c r="O262" i="2"/>
  <c r="M262" i="2"/>
  <c r="N262" i="2" s="1"/>
  <c r="P261" i="2"/>
  <c r="O261" i="2"/>
  <c r="M261" i="2"/>
  <c r="N261" i="2" s="1"/>
  <c r="O260" i="2"/>
  <c r="N260" i="2"/>
  <c r="M260" i="2"/>
  <c r="P260" i="2" s="1"/>
  <c r="O259" i="2"/>
  <c r="M259" i="2"/>
  <c r="O258" i="2"/>
  <c r="M258" i="2"/>
  <c r="O257" i="2"/>
  <c r="N257" i="2"/>
  <c r="M257" i="2"/>
  <c r="P257" i="2" s="1"/>
  <c r="O256" i="2"/>
  <c r="M256" i="2"/>
  <c r="P256" i="2" s="1"/>
  <c r="O255" i="2"/>
  <c r="M255" i="2"/>
  <c r="O254" i="2"/>
  <c r="M254" i="2"/>
  <c r="P254" i="2" s="1"/>
  <c r="P253" i="2"/>
  <c r="O253" i="2"/>
  <c r="N253" i="2"/>
  <c r="M253" i="2"/>
  <c r="O252" i="2"/>
  <c r="M252" i="2"/>
  <c r="O251" i="2"/>
  <c r="M251" i="2"/>
  <c r="O250" i="2"/>
  <c r="M250" i="2"/>
  <c r="O249" i="2"/>
  <c r="M249" i="2"/>
  <c r="N249" i="2" s="1"/>
  <c r="O248" i="2"/>
  <c r="M248" i="2"/>
  <c r="P248" i="2" s="1"/>
  <c r="O247" i="2"/>
  <c r="M247" i="2"/>
  <c r="P247" i="2" s="1"/>
  <c r="O246" i="2"/>
  <c r="M246" i="2"/>
  <c r="N246" i="2" s="1"/>
  <c r="O245" i="2"/>
  <c r="M245" i="2"/>
  <c r="P245" i="2" s="1"/>
  <c r="O244" i="2"/>
  <c r="M244" i="2"/>
  <c r="N244" i="2" s="1"/>
  <c r="O243" i="2"/>
  <c r="M243" i="2"/>
  <c r="N243" i="2" s="1"/>
  <c r="O242" i="2"/>
  <c r="M242" i="2"/>
  <c r="P242" i="2" s="1"/>
  <c r="O241" i="2"/>
  <c r="M241" i="2"/>
  <c r="P241" i="2" s="1"/>
  <c r="O240" i="2"/>
  <c r="M240" i="2"/>
  <c r="O239" i="2"/>
  <c r="M239" i="2"/>
  <c r="P239" i="2" s="1"/>
  <c r="O238" i="2"/>
  <c r="M238" i="2"/>
  <c r="P238" i="2" s="1"/>
  <c r="P237" i="2"/>
  <c r="O237" i="2"/>
  <c r="M237" i="2"/>
  <c r="N237" i="2" s="1"/>
  <c r="O236" i="2"/>
  <c r="M236" i="2"/>
  <c r="P236" i="2" s="1"/>
  <c r="P235" i="2"/>
  <c r="O235" i="2"/>
  <c r="M235" i="2"/>
  <c r="N235" i="2" s="1"/>
  <c r="O234" i="2"/>
  <c r="M234" i="2"/>
  <c r="O233" i="2"/>
  <c r="M233" i="2"/>
  <c r="O232" i="2"/>
  <c r="N232" i="2"/>
  <c r="M232" i="2"/>
  <c r="P232" i="2" s="1"/>
  <c r="O231" i="2"/>
  <c r="M231" i="2"/>
  <c r="N231" i="2" s="1"/>
  <c r="O230" i="2"/>
  <c r="M230" i="2"/>
  <c r="P230" i="2" s="1"/>
  <c r="O229" i="2"/>
  <c r="M229" i="2"/>
  <c r="P229" i="2" s="1"/>
  <c r="O228" i="2"/>
  <c r="M228" i="2"/>
  <c r="O227" i="2"/>
  <c r="M227" i="2"/>
  <c r="P227" i="2" s="1"/>
  <c r="O226" i="2"/>
  <c r="M226" i="2"/>
  <c r="N226" i="2" s="1"/>
  <c r="P225" i="2"/>
  <c r="O225" i="2"/>
  <c r="M225" i="2"/>
  <c r="N225" i="2" s="1"/>
  <c r="O224" i="2"/>
  <c r="N224" i="2"/>
  <c r="M224" i="2"/>
  <c r="P224" i="2" s="1"/>
  <c r="O223" i="2"/>
  <c r="M223" i="2"/>
  <c r="P223" i="2" s="1"/>
  <c r="O222" i="2"/>
  <c r="M222" i="2"/>
  <c r="O221" i="2"/>
  <c r="N221" i="2"/>
  <c r="M221" i="2"/>
  <c r="P221" i="2" s="1"/>
  <c r="O220" i="2"/>
  <c r="M220" i="2"/>
  <c r="P220" i="2" s="1"/>
  <c r="O219" i="2"/>
  <c r="M219" i="2"/>
  <c r="O218" i="2"/>
  <c r="M218" i="2"/>
  <c r="P218" i="2" s="1"/>
  <c r="P217" i="2"/>
  <c r="O217" i="2"/>
  <c r="N217" i="2"/>
  <c r="M217" i="2"/>
  <c r="O216" i="2"/>
  <c r="M216" i="2"/>
  <c r="O215" i="2"/>
  <c r="M215" i="2"/>
  <c r="O214" i="2"/>
  <c r="M214" i="2"/>
  <c r="P214" i="2" s="1"/>
  <c r="O213" i="2"/>
  <c r="M213" i="2"/>
  <c r="N213" i="2" s="1"/>
  <c r="O212" i="2"/>
  <c r="M212" i="2"/>
  <c r="P212" i="2" s="1"/>
  <c r="O211" i="2"/>
  <c r="M211" i="2"/>
  <c r="P211" i="2" s="1"/>
  <c r="O210" i="2"/>
  <c r="M210" i="2"/>
  <c r="N210" i="2" s="1"/>
  <c r="O209" i="2"/>
  <c r="M209" i="2"/>
  <c r="P209" i="2" s="1"/>
  <c r="O208" i="2"/>
  <c r="M208" i="2"/>
  <c r="N208" i="2" s="1"/>
  <c r="O207" i="2"/>
  <c r="M207" i="2"/>
  <c r="N207" i="2" s="1"/>
  <c r="O206" i="2"/>
  <c r="N206" i="2"/>
  <c r="M206" i="2"/>
  <c r="P206" i="2" s="1"/>
  <c r="O205" i="2"/>
  <c r="M205" i="2"/>
  <c r="O204" i="2"/>
  <c r="M204" i="2"/>
  <c r="O203" i="2"/>
  <c r="M203" i="2"/>
  <c r="P203" i="2" s="1"/>
  <c r="O202" i="2"/>
  <c r="M202" i="2"/>
  <c r="O201" i="2"/>
  <c r="M201" i="2"/>
  <c r="P201" i="2" s="1"/>
  <c r="O200" i="2"/>
  <c r="M200" i="2"/>
  <c r="P200" i="2" s="1"/>
  <c r="O199" i="2"/>
  <c r="M199" i="2"/>
  <c r="P199" i="2" s="1"/>
  <c r="O198" i="2"/>
  <c r="M198" i="2"/>
  <c r="N198" i="2" s="1"/>
  <c r="O197" i="2"/>
  <c r="M197" i="2"/>
  <c r="P197" i="2" s="1"/>
  <c r="O196" i="2"/>
  <c r="M196" i="2"/>
  <c r="N196" i="2" s="1"/>
  <c r="O195" i="2"/>
  <c r="M195" i="2"/>
  <c r="O194" i="2"/>
  <c r="M194" i="2"/>
  <c r="P194" i="2" s="1"/>
  <c r="P193" i="2"/>
  <c r="O193" i="2"/>
  <c r="M193" i="2"/>
  <c r="N193" i="2" s="1"/>
  <c r="O192" i="2"/>
  <c r="M192" i="2"/>
  <c r="P192" i="2" s="1"/>
  <c r="O191" i="2"/>
  <c r="M191" i="2"/>
  <c r="P191" i="2" s="1"/>
  <c r="O190" i="2"/>
  <c r="M190" i="2"/>
  <c r="P190" i="2" s="1"/>
  <c r="O189" i="2"/>
  <c r="M189" i="2"/>
  <c r="O188" i="2"/>
  <c r="M188" i="2"/>
  <c r="O187" i="2"/>
  <c r="M187" i="2"/>
  <c r="P187" i="2" s="1"/>
  <c r="O186" i="2"/>
  <c r="M186" i="2"/>
  <c r="P186" i="2" s="1"/>
  <c r="O185" i="2"/>
  <c r="M185" i="2"/>
  <c r="P185" i="2" s="1"/>
  <c r="O184" i="2"/>
  <c r="M184" i="2"/>
  <c r="P184" i="2" s="1"/>
  <c r="O183" i="2"/>
  <c r="M183" i="2"/>
  <c r="N183" i="2" s="1"/>
  <c r="O182" i="2"/>
  <c r="M182" i="2"/>
  <c r="P182" i="2" s="1"/>
  <c r="O181" i="2"/>
  <c r="M181" i="2"/>
  <c r="P181" i="2" s="1"/>
  <c r="P180" i="2"/>
  <c r="O180" i="2"/>
  <c r="M180" i="2"/>
  <c r="N180" i="2" s="1"/>
  <c r="O179" i="2"/>
  <c r="M179" i="2"/>
  <c r="O178" i="2"/>
  <c r="M178" i="2"/>
  <c r="P178" i="2" s="1"/>
  <c r="O177" i="2"/>
  <c r="M177" i="2"/>
  <c r="P177" i="2" s="1"/>
  <c r="O176" i="2"/>
  <c r="M176" i="2"/>
  <c r="P176" i="2" s="1"/>
  <c r="P175" i="2"/>
  <c r="O175" i="2"/>
  <c r="M175" i="2"/>
  <c r="N175" i="2" s="1"/>
  <c r="O174" i="2"/>
  <c r="M174" i="2"/>
  <c r="O173" i="2"/>
  <c r="M173" i="2"/>
  <c r="P173" i="2" s="1"/>
  <c r="O172" i="2"/>
  <c r="M172" i="2"/>
  <c r="N172" i="2" s="1"/>
  <c r="P171" i="2"/>
  <c r="O171" i="2"/>
  <c r="M171" i="2"/>
  <c r="N171" i="2" s="1"/>
  <c r="O170" i="2"/>
  <c r="M170" i="2"/>
  <c r="P170" i="2" s="1"/>
  <c r="O169" i="2"/>
  <c r="M169" i="2"/>
  <c r="P169" i="2" s="1"/>
  <c r="O168" i="2"/>
  <c r="M168" i="2"/>
  <c r="P168" i="2" s="1"/>
  <c r="O167" i="2"/>
  <c r="M167" i="2"/>
  <c r="P167" i="2" s="1"/>
  <c r="O166" i="2"/>
  <c r="M166" i="2"/>
  <c r="O165" i="2"/>
  <c r="M165" i="2"/>
  <c r="P165" i="2" s="1"/>
  <c r="O164" i="2"/>
  <c r="M164" i="2"/>
  <c r="P164" i="2" s="1"/>
  <c r="O163" i="2"/>
  <c r="M163" i="2"/>
  <c r="P163" i="2" s="1"/>
  <c r="O162" i="2"/>
  <c r="M162" i="2"/>
  <c r="N162" i="2" s="1"/>
  <c r="O161" i="2"/>
  <c r="M161" i="2"/>
  <c r="P161" i="2" s="1"/>
  <c r="O160" i="2"/>
  <c r="M160" i="2"/>
  <c r="O159" i="2"/>
  <c r="M159" i="2"/>
  <c r="O158" i="2"/>
  <c r="M158" i="2"/>
  <c r="P158" i="2" s="1"/>
  <c r="P157" i="2"/>
  <c r="O157" i="2"/>
  <c r="M157" i="2"/>
  <c r="N157" i="2" s="1"/>
  <c r="O156" i="2"/>
  <c r="M156" i="2"/>
  <c r="P156" i="2" s="1"/>
  <c r="O155" i="2"/>
  <c r="M155" i="2"/>
  <c r="P154" i="2"/>
  <c r="O154" i="2"/>
  <c r="N154" i="2"/>
  <c r="M154" i="2"/>
  <c r="O153" i="2"/>
  <c r="M153" i="2"/>
  <c r="O152" i="2"/>
  <c r="M152" i="2"/>
  <c r="O151" i="2"/>
  <c r="M151" i="2"/>
  <c r="O150" i="2"/>
  <c r="M150" i="2"/>
  <c r="P150" i="2" s="1"/>
  <c r="O149" i="2"/>
  <c r="M149" i="2"/>
  <c r="P149" i="2" s="1"/>
  <c r="O148" i="2"/>
  <c r="M148" i="2"/>
  <c r="P148" i="2" s="1"/>
  <c r="O147" i="2"/>
  <c r="M147" i="2"/>
  <c r="N147" i="2" s="1"/>
  <c r="O146" i="2"/>
  <c r="N146" i="2"/>
  <c r="M146" i="2"/>
  <c r="P146" i="2" s="1"/>
  <c r="O145" i="2"/>
  <c r="M145" i="2"/>
  <c r="P145" i="2" s="1"/>
  <c r="O144" i="2"/>
  <c r="M144" i="2"/>
  <c r="P144" i="2" s="1"/>
  <c r="O143" i="2"/>
  <c r="M143" i="2"/>
  <c r="O142" i="2"/>
  <c r="M142" i="2"/>
  <c r="P142" i="2" s="1"/>
  <c r="P141" i="2"/>
  <c r="O141" i="2"/>
  <c r="N141" i="2"/>
  <c r="M141" i="2"/>
  <c r="O140" i="2"/>
  <c r="M140" i="2"/>
  <c r="P140" i="2" s="1"/>
  <c r="O139" i="2"/>
  <c r="M139" i="2"/>
  <c r="N139" i="2" s="1"/>
  <c r="O138" i="2"/>
  <c r="M138" i="2"/>
  <c r="N138" i="2" s="1"/>
  <c r="O137" i="2"/>
  <c r="M137" i="2"/>
  <c r="P137" i="2" s="1"/>
  <c r="O136" i="2"/>
  <c r="M136" i="2"/>
  <c r="N136" i="2" s="1"/>
  <c r="O135" i="2"/>
  <c r="M135" i="2"/>
  <c r="P135" i="2" s="1"/>
  <c r="O134" i="2"/>
  <c r="M134" i="2"/>
  <c r="P134" i="2" s="1"/>
  <c r="P133" i="2"/>
  <c r="O133" i="2"/>
  <c r="M133" i="2"/>
  <c r="N133" i="2" s="1"/>
  <c r="O132" i="2"/>
  <c r="M132" i="2"/>
  <c r="P132" i="2" s="1"/>
  <c r="O131" i="2"/>
  <c r="M131" i="2"/>
  <c r="O130" i="2"/>
  <c r="M130" i="2"/>
  <c r="O129" i="2"/>
  <c r="M129" i="2"/>
  <c r="P129" i="2" s="1"/>
  <c r="O128" i="2"/>
  <c r="N128" i="2"/>
  <c r="M128" i="2"/>
  <c r="P128" i="2" s="1"/>
  <c r="O127" i="2"/>
  <c r="M127" i="2"/>
  <c r="P127" i="2" s="1"/>
  <c r="O126" i="2"/>
  <c r="M126" i="2"/>
  <c r="N126" i="2" s="1"/>
  <c r="O125" i="2"/>
  <c r="M125" i="2"/>
  <c r="P125" i="2" s="1"/>
  <c r="O124" i="2"/>
  <c r="M124" i="2"/>
  <c r="N124" i="2" s="1"/>
  <c r="P123" i="2"/>
  <c r="O123" i="2"/>
  <c r="M123" i="2"/>
  <c r="N123" i="2" s="1"/>
  <c r="O122" i="2"/>
  <c r="N122" i="2"/>
  <c r="M122" i="2"/>
  <c r="P122" i="2" s="1"/>
  <c r="O121" i="2"/>
  <c r="M121" i="2"/>
  <c r="P121" i="2" s="1"/>
  <c r="O120" i="2"/>
  <c r="M120" i="2"/>
  <c r="P120" i="2" s="1"/>
  <c r="O119" i="2"/>
  <c r="M119" i="2"/>
  <c r="P119" i="2" s="1"/>
  <c r="O118" i="2"/>
  <c r="M118" i="2"/>
  <c r="O117" i="2"/>
  <c r="M117" i="2"/>
  <c r="O116" i="2"/>
  <c r="M116" i="2"/>
  <c r="O115" i="2"/>
  <c r="M115" i="2"/>
  <c r="P115" i="2" s="1"/>
  <c r="O114" i="2"/>
  <c r="M114" i="2"/>
  <c r="P114" i="2" s="1"/>
  <c r="O113" i="2"/>
  <c r="M113" i="2"/>
  <c r="P113" i="2" s="1"/>
  <c r="O112" i="2"/>
  <c r="M112" i="2"/>
  <c r="P112" i="2" s="1"/>
  <c r="O111" i="2"/>
  <c r="M111" i="2"/>
  <c r="N111" i="2" s="1"/>
  <c r="O110" i="2"/>
  <c r="N110" i="2"/>
  <c r="M110" i="2"/>
  <c r="P110" i="2" s="1"/>
  <c r="O109" i="2"/>
  <c r="M109" i="2"/>
  <c r="P109" i="2" s="1"/>
  <c r="O108" i="2"/>
  <c r="M108" i="2"/>
  <c r="O107" i="2"/>
  <c r="M107" i="2"/>
  <c r="O106" i="2"/>
  <c r="M106" i="2"/>
  <c r="P106" i="2" s="1"/>
  <c r="P105" i="2"/>
  <c r="O105" i="2"/>
  <c r="N105" i="2"/>
  <c r="M105" i="2"/>
  <c r="O104" i="2"/>
  <c r="M104" i="2"/>
  <c r="P104" i="2" s="1"/>
  <c r="O103" i="2"/>
  <c r="M103" i="2"/>
  <c r="N103" i="2" s="1"/>
  <c r="O102" i="2"/>
  <c r="M102" i="2"/>
  <c r="P102" i="2" s="1"/>
  <c r="O101" i="2"/>
  <c r="M101" i="2"/>
  <c r="P101" i="2" s="1"/>
  <c r="O100" i="2"/>
  <c r="M100" i="2"/>
  <c r="N100" i="2" s="1"/>
  <c r="O99" i="2"/>
  <c r="M99" i="2"/>
  <c r="P99" i="2" s="1"/>
  <c r="O98" i="2"/>
  <c r="M98" i="2"/>
  <c r="P98" i="2" s="1"/>
  <c r="P97" i="2"/>
  <c r="O97" i="2"/>
  <c r="N97" i="2"/>
  <c r="M97" i="2"/>
  <c r="O96" i="2"/>
  <c r="M96" i="2"/>
  <c r="P96" i="2" s="1"/>
  <c r="O95" i="2"/>
  <c r="N95" i="2"/>
  <c r="M95" i="2"/>
  <c r="P95" i="2" s="1"/>
  <c r="O94" i="2"/>
  <c r="M94" i="2"/>
  <c r="O93" i="2"/>
  <c r="M93" i="2"/>
  <c r="P93" i="2" s="1"/>
  <c r="O92" i="2"/>
  <c r="M92" i="2"/>
  <c r="P92" i="2" s="1"/>
  <c r="O91" i="2"/>
  <c r="M91" i="2"/>
  <c r="P91" i="2" s="1"/>
  <c r="O90" i="2"/>
  <c r="M90" i="2"/>
  <c r="N90" i="2" s="1"/>
  <c r="O89" i="2"/>
  <c r="M89" i="2"/>
  <c r="P89" i="2" s="1"/>
  <c r="O88" i="2"/>
  <c r="M88" i="2"/>
  <c r="P87" i="2"/>
  <c r="O87" i="2"/>
  <c r="M87" i="2"/>
  <c r="N87" i="2" s="1"/>
  <c r="O86" i="2"/>
  <c r="M86" i="2"/>
  <c r="O85" i="2"/>
  <c r="M85" i="2"/>
  <c r="N85" i="2" s="1"/>
  <c r="P84" i="2"/>
  <c r="O84" i="2"/>
  <c r="N84" i="2"/>
  <c r="M84" i="2"/>
  <c r="O83" i="2"/>
  <c r="N83" i="2"/>
  <c r="M83" i="2"/>
  <c r="P83" i="2" s="1"/>
  <c r="O82" i="2"/>
  <c r="M82" i="2"/>
  <c r="P81" i="2"/>
  <c r="O81" i="2"/>
  <c r="N81" i="2"/>
  <c r="M81" i="2"/>
  <c r="O80" i="2"/>
  <c r="N80" i="2"/>
  <c r="M80" i="2"/>
  <c r="P80" i="2" s="1"/>
  <c r="O79" i="2"/>
  <c r="M79" i="2"/>
  <c r="N79" i="2" s="1"/>
  <c r="O78" i="2"/>
  <c r="M78" i="2"/>
  <c r="P78" i="2" s="1"/>
  <c r="O77" i="2"/>
  <c r="M77" i="2"/>
  <c r="P77" i="2" s="1"/>
  <c r="P76" i="2"/>
  <c r="O76" i="2"/>
  <c r="M76" i="2"/>
  <c r="N76" i="2" s="1"/>
  <c r="O75" i="2"/>
  <c r="M75" i="2"/>
  <c r="O74" i="2"/>
  <c r="M74" i="2"/>
  <c r="P74" i="2" s="1"/>
  <c r="O73" i="2"/>
  <c r="M73" i="2"/>
  <c r="P73" i="2" s="1"/>
  <c r="P72" i="2"/>
  <c r="O72" i="2"/>
  <c r="N72" i="2"/>
  <c r="M72" i="2"/>
  <c r="O71" i="2"/>
  <c r="M71" i="2"/>
  <c r="P71" i="2" s="1"/>
  <c r="O70" i="2"/>
  <c r="M70" i="2"/>
  <c r="N70" i="2" s="1"/>
  <c r="P69" i="2"/>
  <c r="O69" i="2"/>
  <c r="N69" i="2"/>
  <c r="M69" i="2"/>
  <c r="O68" i="2"/>
  <c r="N68" i="2"/>
  <c r="M68" i="2"/>
  <c r="P68" i="2" s="1"/>
  <c r="O67" i="2"/>
  <c r="M67" i="2"/>
  <c r="O66" i="2"/>
  <c r="M66" i="2"/>
  <c r="P66" i="2" s="1"/>
  <c r="O65" i="2"/>
  <c r="M65" i="2"/>
  <c r="P65" i="2" s="1"/>
  <c r="O64" i="2"/>
  <c r="M64" i="2"/>
  <c r="N64" i="2" s="1"/>
  <c r="O63" i="2"/>
  <c r="M63" i="2"/>
  <c r="O62" i="2"/>
  <c r="M62" i="2"/>
  <c r="P62" i="2" s="1"/>
  <c r="P61" i="2"/>
  <c r="O61" i="2"/>
  <c r="M61" i="2"/>
  <c r="N61" i="2" s="1"/>
  <c r="O60" i="2"/>
  <c r="M60" i="2"/>
  <c r="P60" i="2" s="1"/>
  <c r="O59" i="2"/>
  <c r="M59" i="2"/>
  <c r="P59" i="2" s="1"/>
  <c r="O58" i="2"/>
  <c r="M58" i="2"/>
  <c r="P57" i="2"/>
  <c r="O57" i="2"/>
  <c r="M57" i="2"/>
  <c r="N57" i="2" s="1"/>
  <c r="O56" i="2"/>
  <c r="M56" i="2"/>
  <c r="P56" i="2" s="1"/>
  <c r="P55" i="2"/>
  <c r="O55" i="2"/>
  <c r="M55" i="2"/>
  <c r="N55" i="2" s="1"/>
  <c r="O54" i="2"/>
  <c r="M54" i="2"/>
  <c r="P54" i="2" s="1"/>
  <c r="O53" i="2"/>
  <c r="M53" i="2"/>
  <c r="P53" i="2" s="1"/>
  <c r="O52" i="2"/>
  <c r="M52" i="2"/>
  <c r="N52" i="2" s="1"/>
  <c r="P51" i="2"/>
  <c r="O51" i="2"/>
  <c r="N51" i="2"/>
  <c r="M51" i="2"/>
  <c r="O50" i="2"/>
  <c r="M50" i="2"/>
  <c r="P49" i="2"/>
  <c r="O49" i="2"/>
  <c r="N49" i="2"/>
  <c r="M49" i="2"/>
  <c r="O48" i="2"/>
  <c r="M48" i="2"/>
  <c r="P48" i="2" s="1"/>
  <c r="O47" i="2"/>
  <c r="M47" i="2"/>
  <c r="P47" i="2" s="1"/>
  <c r="P46" i="2"/>
  <c r="O46" i="2"/>
  <c r="M46" i="2"/>
  <c r="N46" i="2" s="1"/>
  <c r="O45" i="2"/>
  <c r="M45" i="2"/>
  <c r="O44" i="2"/>
  <c r="M44" i="2"/>
  <c r="P44" i="2" s="1"/>
  <c r="P43" i="2"/>
  <c r="O43" i="2"/>
  <c r="M43" i="2"/>
  <c r="N43" i="2" s="1"/>
  <c r="P42" i="2"/>
  <c r="O42" i="2"/>
  <c r="N42" i="2"/>
  <c r="M42" i="2"/>
  <c r="O41" i="2"/>
  <c r="M41" i="2"/>
  <c r="P41" i="2" s="1"/>
  <c r="O40" i="2"/>
  <c r="M40" i="2"/>
  <c r="N40" i="2" s="1"/>
  <c r="P39" i="2"/>
  <c r="O39" i="2"/>
  <c r="N39" i="2"/>
  <c r="M39" i="2"/>
  <c r="O38" i="2"/>
  <c r="M38" i="2"/>
  <c r="P38" i="2" s="1"/>
  <c r="O37" i="2"/>
  <c r="M37" i="2"/>
  <c r="P36" i="2"/>
  <c r="O36" i="2"/>
  <c r="M36" i="2"/>
  <c r="N36" i="2" s="1"/>
  <c r="O35" i="2"/>
  <c r="M35" i="2"/>
  <c r="P35" i="2" s="1"/>
  <c r="O34" i="2"/>
  <c r="M34" i="2"/>
  <c r="P34" i="2" s="1"/>
  <c r="O33" i="2"/>
  <c r="M33" i="2"/>
  <c r="P33" i="2" s="1"/>
  <c r="O32" i="2"/>
  <c r="M32" i="2"/>
  <c r="P32" i="2" s="1"/>
  <c r="P31" i="2"/>
  <c r="O31" i="2"/>
  <c r="M31" i="2"/>
  <c r="N31" i="2" s="1"/>
  <c r="O30" i="2"/>
  <c r="M30" i="2"/>
  <c r="O29" i="2"/>
  <c r="M29" i="2"/>
  <c r="P29" i="2" s="1"/>
  <c r="O28" i="2"/>
  <c r="M28" i="2"/>
  <c r="N28" i="2" s="1"/>
  <c r="P27" i="2"/>
  <c r="O27" i="2"/>
  <c r="N27" i="2"/>
  <c r="M27" i="2"/>
  <c r="O26" i="2"/>
  <c r="M26" i="2"/>
  <c r="P26" i="2" s="1"/>
  <c r="O25" i="2"/>
  <c r="M25" i="2"/>
  <c r="P24" i="2"/>
  <c r="O24" i="2"/>
  <c r="N24" i="2"/>
  <c r="M24" i="2"/>
  <c r="O23" i="2"/>
  <c r="M23" i="2"/>
  <c r="P23" i="2" s="1"/>
  <c r="O22" i="2"/>
  <c r="M22" i="2"/>
  <c r="O21" i="2"/>
  <c r="M21" i="2"/>
  <c r="P21" i="2" s="1"/>
  <c r="O20" i="2"/>
  <c r="N20" i="2"/>
  <c r="M20" i="2"/>
  <c r="P20" i="2" s="1"/>
  <c r="O19" i="2"/>
  <c r="M19" i="2"/>
  <c r="N19" i="2" s="1"/>
  <c r="O18" i="2"/>
  <c r="N18" i="2"/>
  <c r="M18" i="2"/>
  <c r="P18" i="2" s="1"/>
  <c r="O17" i="2"/>
  <c r="M17" i="2"/>
  <c r="P17" i="2" s="1"/>
  <c r="P16" i="2"/>
  <c r="O16" i="2"/>
  <c r="M16" i="2"/>
  <c r="N16" i="2" s="1"/>
  <c r="O15" i="2"/>
  <c r="M15" i="2"/>
  <c r="P15" i="2" s="1"/>
  <c r="O14" i="2"/>
  <c r="M14" i="2"/>
  <c r="P14" i="2" s="1"/>
  <c r="P13" i="2"/>
  <c r="O13" i="2"/>
  <c r="M13" i="2"/>
  <c r="N13" i="2" s="1"/>
  <c r="P12" i="2"/>
  <c r="O12" i="2"/>
  <c r="M12" i="2"/>
  <c r="N12" i="2" s="1"/>
  <c r="O11" i="2"/>
  <c r="M11" i="2"/>
  <c r="P11" i="2" s="1"/>
  <c r="O10" i="2"/>
  <c r="M10" i="2"/>
  <c r="N10" i="2" s="1"/>
  <c r="P9" i="2"/>
  <c r="O9" i="2"/>
  <c r="M9" i="2"/>
  <c r="N9" i="2" s="1"/>
  <c r="O8" i="2"/>
  <c r="M8" i="2"/>
  <c r="P8" i="2" s="1"/>
  <c r="O7" i="2"/>
  <c r="M7" i="2"/>
  <c r="O6" i="2"/>
  <c r="M6" i="2"/>
  <c r="P6" i="2" s="1"/>
  <c r="O5" i="2"/>
  <c r="N5" i="2"/>
  <c r="M5" i="2"/>
  <c r="P5" i="2" s="1"/>
  <c r="P4" i="2"/>
  <c r="O4" i="2"/>
  <c r="M4" i="2"/>
  <c r="N4" i="2" s="1"/>
  <c r="O3" i="2"/>
  <c r="M3" i="2"/>
  <c r="P3" i="2" s="1"/>
  <c r="O2" i="2"/>
  <c r="M2" i="2"/>
  <c r="P2" i="2" s="1"/>
  <c r="Q339" i="1"/>
  <c r="O339" i="1"/>
  <c r="M339" i="1"/>
  <c r="N339" i="1" s="1"/>
  <c r="Q338" i="1"/>
  <c r="O338" i="1"/>
  <c r="M338" i="1"/>
  <c r="N338" i="1" s="1"/>
  <c r="Q337" i="1"/>
  <c r="O337" i="1"/>
  <c r="M337" i="1"/>
  <c r="P337" i="1" s="1"/>
  <c r="Q336" i="1"/>
  <c r="O336" i="1"/>
  <c r="M336" i="1"/>
  <c r="P336" i="1" s="1"/>
  <c r="Q335" i="1"/>
  <c r="O335" i="1"/>
  <c r="M335" i="1"/>
  <c r="P335" i="1" s="1"/>
  <c r="Q334" i="1"/>
  <c r="O334" i="1"/>
  <c r="M334" i="1"/>
  <c r="Q333" i="1"/>
  <c r="O333" i="1"/>
  <c r="M333" i="1"/>
  <c r="P333" i="1" s="1"/>
  <c r="Q332" i="1"/>
  <c r="O332" i="1"/>
  <c r="M332" i="1"/>
  <c r="Q331" i="1"/>
  <c r="O331" i="1"/>
  <c r="M331" i="1"/>
  <c r="N331" i="1" s="1"/>
  <c r="Q330" i="1"/>
  <c r="O330" i="1"/>
  <c r="M330" i="1"/>
  <c r="P330" i="1" s="1"/>
  <c r="Q329" i="1"/>
  <c r="O329" i="1"/>
  <c r="M329" i="1"/>
  <c r="Q328" i="1"/>
  <c r="O328" i="1"/>
  <c r="M328" i="1"/>
  <c r="P328" i="1" s="1"/>
  <c r="Q327" i="1"/>
  <c r="O327" i="1"/>
  <c r="M327" i="1"/>
  <c r="Q326" i="1"/>
  <c r="O326" i="1"/>
  <c r="M326" i="1"/>
  <c r="N326" i="1" s="1"/>
  <c r="Q325" i="1"/>
  <c r="O325" i="1"/>
  <c r="M325" i="1"/>
  <c r="P325" i="1" s="1"/>
  <c r="Q324" i="1"/>
  <c r="O324" i="1"/>
  <c r="M324" i="1"/>
  <c r="N324" i="1" s="1"/>
  <c r="Q323" i="1"/>
  <c r="O323" i="1"/>
  <c r="M323" i="1"/>
  <c r="P323" i="1" s="1"/>
  <c r="Q322" i="1"/>
  <c r="O322" i="1"/>
  <c r="M322" i="1"/>
  <c r="Q321" i="1"/>
  <c r="O321" i="1"/>
  <c r="M321" i="1"/>
  <c r="P321" i="1" s="1"/>
  <c r="Q320" i="1"/>
  <c r="O320" i="1"/>
  <c r="M320" i="1"/>
  <c r="Q319" i="1"/>
  <c r="O319" i="1"/>
  <c r="M319" i="1"/>
  <c r="N319" i="1" s="1"/>
  <c r="Q318" i="1"/>
  <c r="O318" i="1"/>
  <c r="M318" i="1"/>
  <c r="P318" i="1" s="1"/>
  <c r="Q317" i="1"/>
  <c r="O317" i="1"/>
  <c r="M317" i="1"/>
  <c r="P317" i="1" s="1"/>
  <c r="Q316" i="1"/>
  <c r="O316" i="1"/>
  <c r="M316" i="1"/>
  <c r="P316" i="1" s="1"/>
  <c r="Q315" i="1"/>
  <c r="O315" i="1"/>
  <c r="M315" i="1"/>
  <c r="N315" i="1" s="1"/>
  <c r="Q314" i="1"/>
  <c r="O314" i="1"/>
  <c r="M314" i="1"/>
  <c r="N314" i="1" s="1"/>
  <c r="Q313" i="1"/>
  <c r="O313" i="1"/>
  <c r="M313" i="1"/>
  <c r="P313" i="1" s="1"/>
  <c r="Q312" i="1"/>
  <c r="O312" i="1"/>
  <c r="M312" i="1"/>
  <c r="P312" i="1" s="1"/>
  <c r="Q311" i="1"/>
  <c r="O311" i="1"/>
  <c r="M311" i="1"/>
  <c r="P311" i="1" s="1"/>
  <c r="Q310" i="1"/>
  <c r="O310" i="1"/>
  <c r="M310" i="1"/>
  <c r="Q309" i="1"/>
  <c r="O309" i="1"/>
  <c r="M309" i="1"/>
  <c r="Q308" i="1"/>
  <c r="O308" i="1"/>
  <c r="M308" i="1"/>
  <c r="N308" i="1" s="1"/>
  <c r="Q307" i="1"/>
  <c r="O307" i="1"/>
  <c r="M307" i="1"/>
  <c r="P307" i="1" s="1"/>
  <c r="Q306" i="1"/>
  <c r="O306" i="1"/>
  <c r="M306" i="1"/>
  <c r="P306" i="1" s="1"/>
  <c r="Q305" i="1"/>
  <c r="O305" i="1"/>
  <c r="M305" i="1"/>
  <c r="P305" i="1" s="1"/>
  <c r="Q304" i="1"/>
  <c r="O304" i="1"/>
  <c r="M304" i="1"/>
  <c r="P304" i="1" s="1"/>
  <c r="Q303" i="1"/>
  <c r="O303" i="1"/>
  <c r="M303" i="1"/>
  <c r="N303" i="1" s="1"/>
  <c r="Q302" i="1"/>
  <c r="O302" i="1"/>
  <c r="M302" i="1"/>
  <c r="N302" i="1" s="1"/>
  <c r="Q301" i="1"/>
  <c r="O301" i="1"/>
  <c r="M301" i="1"/>
  <c r="P301" i="1" s="1"/>
  <c r="Q300" i="1"/>
  <c r="O300" i="1"/>
  <c r="M300" i="1"/>
  <c r="P300" i="1" s="1"/>
  <c r="Q299" i="1"/>
  <c r="O299" i="1"/>
  <c r="M299" i="1"/>
  <c r="P299" i="1" s="1"/>
  <c r="Q298" i="1"/>
  <c r="O298" i="1"/>
  <c r="M298" i="1"/>
  <c r="Q297" i="1"/>
  <c r="O297" i="1"/>
  <c r="M297" i="1"/>
  <c r="P297" i="1" s="1"/>
  <c r="Q296" i="1"/>
  <c r="O296" i="1"/>
  <c r="M296" i="1"/>
  <c r="N296" i="1" s="1"/>
  <c r="Q295" i="1"/>
  <c r="O295" i="1"/>
  <c r="M295" i="1"/>
  <c r="Q294" i="1"/>
  <c r="O294" i="1"/>
  <c r="M294" i="1"/>
  <c r="P294" i="1" s="1"/>
  <c r="Q293" i="1"/>
  <c r="O293" i="1"/>
  <c r="M293" i="1"/>
  <c r="P293" i="1" s="1"/>
  <c r="Q292" i="1"/>
  <c r="O292" i="1"/>
  <c r="M292" i="1"/>
  <c r="P292" i="1" s="1"/>
  <c r="Q291" i="1"/>
  <c r="O291" i="1"/>
  <c r="M291" i="1"/>
  <c r="N291" i="1" s="1"/>
  <c r="Q290" i="1"/>
  <c r="O290" i="1"/>
  <c r="M290" i="1"/>
  <c r="N290" i="1" s="1"/>
  <c r="Q289" i="1"/>
  <c r="O289" i="1"/>
  <c r="M289" i="1"/>
  <c r="P289" i="1" s="1"/>
  <c r="Q288" i="1"/>
  <c r="O288" i="1"/>
  <c r="M288" i="1"/>
  <c r="P288" i="1" s="1"/>
  <c r="Q287" i="1"/>
  <c r="O287" i="1"/>
  <c r="M287" i="1"/>
  <c r="N287" i="1" s="1"/>
  <c r="Q286" i="1"/>
  <c r="O286" i="1"/>
  <c r="M286" i="1"/>
  <c r="P286" i="1" s="1"/>
  <c r="Q285" i="1"/>
  <c r="O285" i="1"/>
  <c r="M285" i="1"/>
  <c r="P285" i="1" s="1"/>
  <c r="Q284" i="1"/>
  <c r="O284" i="1"/>
  <c r="M284" i="1"/>
  <c r="N284" i="1" s="1"/>
  <c r="Q283" i="1"/>
  <c r="O283" i="1"/>
  <c r="M283" i="1"/>
  <c r="Q282" i="1"/>
  <c r="O282" i="1"/>
  <c r="M282" i="1"/>
  <c r="N282" i="1" s="1"/>
  <c r="Q281" i="1"/>
  <c r="O281" i="1"/>
  <c r="M281" i="1"/>
  <c r="P281" i="1" s="1"/>
  <c r="Q280" i="1"/>
  <c r="O280" i="1"/>
  <c r="M280" i="1"/>
  <c r="P280" i="1" s="1"/>
  <c r="Q279" i="1"/>
  <c r="O279" i="1"/>
  <c r="M279" i="1"/>
  <c r="N279" i="1" s="1"/>
  <c r="Q278" i="1"/>
  <c r="O278" i="1"/>
  <c r="M278" i="1"/>
  <c r="N278" i="1" s="1"/>
  <c r="Q277" i="1"/>
  <c r="O277" i="1"/>
  <c r="M277" i="1"/>
  <c r="N277" i="1" s="1"/>
  <c r="Q276" i="1"/>
  <c r="O276" i="1"/>
  <c r="M276" i="1"/>
  <c r="P276" i="1" s="1"/>
  <c r="Q275" i="1"/>
  <c r="O275" i="1"/>
  <c r="M275" i="1"/>
  <c r="N275" i="1" s="1"/>
  <c r="Q274" i="1"/>
  <c r="O274" i="1"/>
  <c r="M274" i="1"/>
  <c r="P274" i="1" s="1"/>
  <c r="Q273" i="1"/>
  <c r="O273" i="1"/>
  <c r="M273" i="1"/>
  <c r="P273" i="1" s="1"/>
  <c r="Q272" i="1"/>
  <c r="O272" i="1"/>
  <c r="M272" i="1"/>
  <c r="N272" i="1" s="1"/>
  <c r="Q271" i="1"/>
  <c r="O271" i="1"/>
  <c r="M271" i="1"/>
  <c r="N271" i="1" s="1"/>
  <c r="Q270" i="1"/>
  <c r="O270" i="1"/>
  <c r="M270" i="1"/>
  <c r="N270" i="1" s="1"/>
  <c r="Q269" i="1"/>
  <c r="O269" i="1"/>
  <c r="M269" i="1"/>
  <c r="P269" i="1" s="1"/>
  <c r="Q268" i="1"/>
  <c r="O268" i="1"/>
  <c r="M268" i="1"/>
  <c r="P268" i="1" s="1"/>
  <c r="Q267" i="1"/>
  <c r="O267" i="1"/>
  <c r="M267" i="1"/>
  <c r="N267" i="1" s="1"/>
  <c r="Q266" i="1"/>
  <c r="O266" i="1"/>
  <c r="M266" i="1"/>
  <c r="N266" i="1" s="1"/>
  <c r="Q265" i="1"/>
  <c r="O265" i="1"/>
  <c r="M265" i="1"/>
  <c r="Q264" i="1"/>
  <c r="O264" i="1"/>
  <c r="M264" i="1"/>
  <c r="P264" i="1" s="1"/>
  <c r="Q263" i="1"/>
  <c r="O263" i="1"/>
  <c r="M263" i="1"/>
  <c r="P263" i="1" s="1"/>
  <c r="Q262" i="1"/>
  <c r="O262" i="1"/>
  <c r="M262" i="1"/>
  <c r="P262" i="1" s="1"/>
  <c r="Q261" i="1"/>
  <c r="O261" i="1"/>
  <c r="M261" i="1"/>
  <c r="P261" i="1" s="1"/>
  <c r="Q260" i="1"/>
  <c r="O260" i="1"/>
  <c r="M260" i="1"/>
  <c r="N260" i="1" s="1"/>
  <c r="Q259" i="1"/>
  <c r="O259" i="1"/>
  <c r="M259" i="1"/>
  <c r="N259" i="1" s="1"/>
  <c r="Q258" i="1"/>
  <c r="O258" i="1"/>
  <c r="M258" i="1"/>
  <c r="P258" i="1" s="1"/>
  <c r="Q257" i="1"/>
  <c r="O257" i="1"/>
  <c r="M257" i="1"/>
  <c r="P257" i="1" s="1"/>
  <c r="Q256" i="1"/>
  <c r="O256" i="1"/>
  <c r="M256" i="1"/>
  <c r="P256" i="1" s="1"/>
  <c r="Q255" i="1"/>
  <c r="O255" i="1"/>
  <c r="M255" i="1"/>
  <c r="N255" i="1" s="1"/>
  <c r="Q254" i="1"/>
  <c r="O254" i="1"/>
  <c r="M254" i="1"/>
  <c r="N254" i="1" s="1"/>
  <c r="Q253" i="1"/>
  <c r="O253" i="1"/>
  <c r="M253" i="1"/>
  <c r="P253" i="1" s="1"/>
  <c r="Q252" i="1"/>
  <c r="O252" i="1"/>
  <c r="M252" i="1"/>
  <c r="Q251" i="1"/>
  <c r="O251" i="1"/>
  <c r="M251" i="1"/>
  <c r="P251" i="1" s="1"/>
  <c r="Q250" i="1"/>
  <c r="O250" i="1"/>
  <c r="M250" i="1"/>
  <c r="P250" i="1" s="1"/>
  <c r="Q249" i="1"/>
  <c r="O249" i="1"/>
  <c r="M249" i="1"/>
  <c r="P249" i="1" s="1"/>
  <c r="Q248" i="1"/>
  <c r="O248" i="1"/>
  <c r="M248" i="1"/>
  <c r="Q247" i="1"/>
  <c r="O247" i="1"/>
  <c r="M247" i="1"/>
  <c r="N247" i="1" s="1"/>
  <c r="Q246" i="1"/>
  <c r="O246" i="1"/>
  <c r="M246" i="1"/>
  <c r="P246" i="1" s="1"/>
  <c r="Q245" i="1"/>
  <c r="O245" i="1"/>
  <c r="M245" i="1"/>
  <c r="P245" i="1" s="1"/>
  <c r="Q244" i="1"/>
  <c r="O244" i="1"/>
  <c r="M244" i="1"/>
  <c r="P244" i="1" s="1"/>
  <c r="Q243" i="1"/>
  <c r="O243" i="1"/>
  <c r="M243" i="1"/>
  <c r="N243" i="1" s="1"/>
  <c r="Q242" i="1"/>
  <c r="O242" i="1"/>
  <c r="M242" i="1"/>
  <c r="N242" i="1" s="1"/>
  <c r="Q241" i="1"/>
  <c r="O241" i="1"/>
  <c r="M241" i="1"/>
  <c r="P241" i="1" s="1"/>
  <c r="Q240" i="1"/>
  <c r="O240" i="1"/>
  <c r="M240" i="1"/>
  <c r="P240" i="1" s="1"/>
  <c r="Q239" i="1"/>
  <c r="O239" i="1"/>
  <c r="M239" i="1"/>
  <c r="Q238" i="1"/>
  <c r="O238" i="1"/>
  <c r="M238" i="1"/>
  <c r="P238" i="1" s="1"/>
  <c r="Q237" i="1"/>
  <c r="O237" i="1"/>
  <c r="M237" i="1"/>
  <c r="P237" i="1" s="1"/>
  <c r="Q236" i="1"/>
  <c r="O236" i="1"/>
  <c r="M236" i="1"/>
  <c r="Q235" i="1"/>
  <c r="O235" i="1"/>
  <c r="M235" i="1"/>
  <c r="N235" i="1" s="1"/>
  <c r="Q234" i="1"/>
  <c r="O234" i="1"/>
  <c r="M234" i="1"/>
  <c r="P234" i="1" s="1"/>
  <c r="Q233" i="1"/>
  <c r="O233" i="1"/>
  <c r="M233" i="1"/>
  <c r="P233" i="1" s="1"/>
  <c r="Q232" i="1"/>
  <c r="O232" i="1"/>
  <c r="M232" i="1"/>
  <c r="P232" i="1" s="1"/>
  <c r="Q231" i="1"/>
  <c r="O231" i="1"/>
  <c r="M231" i="1"/>
  <c r="N231" i="1" s="1"/>
  <c r="Q230" i="1"/>
  <c r="O230" i="1"/>
  <c r="M230" i="1"/>
  <c r="N230" i="1" s="1"/>
  <c r="Q229" i="1"/>
  <c r="O229" i="1"/>
  <c r="M229" i="1"/>
  <c r="P229" i="1" s="1"/>
  <c r="Q228" i="1"/>
  <c r="O228" i="1"/>
  <c r="M228" i="1"/>
  <c r="N228" i="1" s="1"/>
  <c r="Q227" i="1"/>
  <c r="O227" i="1"/>
  <c r="M227" i="1"/>
  <c r="N227" i="1" s="1"/>
  <c r="Q226" i="1"/>
  <c r="O226" i="1"/>
  <c r="M226" i="1"/>
  <c r="P226" i="1" s="1"/>
  <c r="Q225" i="1"/>
  <c r="O225" i="1"/>
  <c r="M225" i="1"/>
  <c r="P225" i="1" s="1"/>
  <c r="Q224" i="1"/>
  <c r="O224" i="1"/>
  <c r="M224" i="1"/>
  <c r="Q223" i="1"/>
  <c r="O223" i="1"/>
  <c r="M223" i="1"/>
  <c r="N223" i="1" s="1"/>
  <c r="Q222" i="1"/>
  <c r="O222" i="1"/>
  <c r="M222" i="1"/>
  <c r="P222" i="1" s="1"/>
  <c r="Q221" i="1"/>
  <c r="O221" i="1"/>
  <c r="M221" i="1"/>
  <c r="P221" i="1" s="1"/>
  <c r="Q220" i="1"/>
  <c r="O220" i="1"/>
  <c r="M220" i="1"/>
  <c r="P220" i="1" s="1"/>
  <c r="Q219" i="1"/>
  <c r="O219" i="1"/>
  <c r="M219" i="1"/>
  <c r="N219" i="1" s="1"/>
  <c r="Q218" i="1"/>
  <c r="O218" i="1"/>
  <c r="M218" i="1"/>
  <c r="Q217" i="1"/>
  <c r="O217" i="1"/>
  <c r="M217" i="1"/>
  <c r="P217" i="1" s="1"/>
  <c r="Q216" i="1"/>
  <c r="O216" i="1"/>
  <c r="M216" i="1"/>
  <c r="P216" i="1" s="1"/>
  <c r="Q215" i="1"/>
  <c r="O215" i="1"/>
  <c r="M215" i="1"/>
  <c r="P215" i="1" s="1"/>
  <c r="Q214" i="1"/>
  <c r="O214" i="1"/>
  <c r="M214" i="1"/>
  <c r="P214" i="1" s="1"/>
  <c r="Q213" i="1"/>
  <c r="O213" i="1"/>
  <c r="M213" i="1"/>
  <c r="N213" i="1" s="1"/>
  <c r="Q212" i="1"/>
  <c r="O212" i="1"/>
  <c r="M212" i="1"/>
  <c r="N212" i="1" s="1"/>
  <c r="Q211" i="1"/>
  <c r="O211" i="1"/>
  <c r="M211" i="1"/>
  <c r="Q210" i="1"/>
  <c r="O210" i="1"/>
  <c r="M210" i="1"/>
  <c r="N210" i="1" s="1"/>
  <c r="Q209" i="1"/>
  <c r="O209" i="1"/>
  <c r="M209" i="1"/>
  <c r="N209" i="1" s="1"/>
  <c r="Q208" i="1"/>
  <c r="O208" i="1"/>
  <c r="M208" i="1"/>
  <c r="P208" i="1" s="1"/>
  <c r="Q207" i="1"/>
  <c r="O207" i="1"/>
  <c r="M207" i="1"/>
  <c r="P207" i="1" s="1"/>
  <c r="Q206" i="1"/>
  <c r="O206" i="1"/>
  <c r="M206" i="1"/>
  <c r="N206" i="1" s="1"/>
  <c r="Q205" i="1"/>
  <c r="O205" i="1"/>
  <c r="M205" i="1"/>
  <c r="P205" i="1" s="1"/>
  <c r="Q204" i="1"/>
  <c r="O204" i="1"/>
  <c r="M204" i="1"/>
  <c r="P204" i="1" s="1"/>
  <c r="Q203" i="1"/>
  <c r="O203" i="1"/>
  <c r="M203" i="1"/>
  <c r="P203" i="1" s="1"/>
  <c r="Q202" i="1"/>
  <c r="O202" i="1"/>
  <c r="M202" i="1"/>
  <c r="P202" i="1" s="1"/>
  <c r="Q201" i="1"/>
  <c r="O201" i="1"/>
  <c r="M201" i="1"/>
  <c r="N201" i="1" s="1"/>
  <c r="Q200" i="1"/>
  <c r="O200" i="1"/>
  <c r="M200" i="1"/>
  <c r="N200" i="1" s="1"/>
  <c r="Q199" i="1"/>
  <c r="O199" i="1"/>
  <c r="M199" i="1"/>
  <c r="P199" i="1" s="1"/>
  <c r="Q198" i="1"/>
  <c r="O198" i="1"/>
  <c r="M198" i="1"/>
  <c r="P198" i="1" s="1"/>
  <c r="Q197" i="1"/>
  <c r="O197" i="1"/>
  <c r="M197" i="1"/>
  <c r="N197" i="1" s="1"/>
  <c r="Q196" i="1"/>
  <c r="O196" i="1"/>
  <c r="M196" i="1"/>
  <c r="Q195" i="1"/>
  <c r="O195" i="1"/>
  <c r="M195" i="1"/>
  <c r="P195" i="1" s="1"/>
  <c r="Q194" i="1"/>
  <c r="O194" i="1"/>
  <c r="M194" i="1"/>
  <c r="P194" i="1" s="1"/>
  <c r="Q193" i="1"/>
  <c r="O193" i="1"/>
  <c r="M193" i="1"/>
  <c r="P193" i="1" s="1"/>
  <c r="Q192" i="1"/>
  <c r="O192" i="1"/>
  <c r="M192" i="1"/>
  <c r="N192" i="1" s="1"/>
  <c r="Q191" i="1"/>
  <c r="O191" i="1"/>
  <c r="M191" i="1"/>
  <c r="P191" i="1" s="1"/>
  <c r="Q190" i="1"/>
  <c r="O190" i="1"/>
  <c r="M190" i="1"/>
  <c r="N190" i="1" s="1"/>
  <c r="Q189" i="1"/>
  <c r="O189" i="1"/>
  <c r="M189" i="1"/>
  <c r="N189" i="1" s="1"/>
  <c r="Q188" i="1"/>
  <c r="O188" i="1"/>
  <c r="M188" i="1"/>
  <c r="N188" i="1" s="1"/>
  <c r="Q187" i="1"/>
  <c r="O187" i="1"/>
  <c r="M187" i="1"/>
  <c r="P187" i="1" s="1"/>
  <c r="Q186" i="1"/>
  <c r="O186" i="1"/>
  <c r="M186" i="1"/>
  <c r="P186" i="1" s="1"/>
  <c r="Q185" i="1"/>
  <c r="O185" i="1"/>
  <c r="M185" i="1"/>
  <c r="N185" i="1" s="1"/>
  <c r="Q184" i="1"/>
  <c r="O184" i="1"/>
  <c r="M184" i="1"/>
  <c r="Q183" i="1"/>
  <c r="O183" i="1"/>
  <c r="M183" i="1"/>
  <c r="P183" i="1" s="1"/>
  <c r="Q182" i="1"/>
  <c r="O182" i="1"/>
  <c r="M182" i="1"/>
  <c r="P182" i="1" s="1"/>
  <c r="Q181" i="1"/>
  <c r="O181" i="1"/>
  <c r="M181" i="1"/>
  <c r="Q180" i="1"/>
  <c r="O180" i="1"/>
  <c r="M180" i="1"/>
  <c r="P180" i="1" s="1"/>
  <c r="Q179" i="1"/>
  <c r="O179" i="1"/>
  <c r="M179" i="1"/>
  <c r="P179" i="1" s="1"/>
  <c r="Q178" i="1"/>
  <c r="O178" i="1"/>
  <c r="M178" i="1"/>
  <c r="P178" i="1" s="1"/>
  <c r="Q177" i="1"/>
  <c r="O177" i="1"/>
  <c r="M177" i="1"/>
  <c r="Q176" i="1"/>
  <c r="O176" i="1"/>
  <c r="M176" i="1"/>
  <c r="N176" i="1" s="1"/>
  <c r="Q175" i="1"/>
  <c r="O175" i="1"/>
  <c r="M175" i="1"/>
  <c r="N175" i="1" s="1"/>
  <c r="Q174" i="1"/>
  <c r="O174" i="1"/>
  <c r="M174" i="1"/>
  <c r="P174" i="1" s="1"/>
  <c r="Q173" i="1"/>
  <c r="O173" i="1"/>
  <c r="M173" i="1"/>
  <c r="N173" i="1" s="1"/>
  <c r="Q172" i="1"/>
  <c r="O172" i="1"/>
  <c r="M172" i="1"/>
  <c r="P172" i="1" s="1"/>
  <c r="Q171" i="1"/>
  <c r="O171" i="1"/>
  <c r="M171" i="1"/>
  <c r="P171" i="1" s="1"/>
  <c r="Q170" i="1"/>
  <c r="O170" i="1"/>
  <c r="M170" i="1"/>
  <c r="N170" i="1" s="1"/>
  <c r="Q169" i="1"/>
  <c r="O169" i="1"/>
  <c r="M169" i="1"/>
  <c r="P169" i="1" s="1"/>
  <c r="Q168" i="1"/>
  <c r="O168" i="1"/>
  <c r="M168" i="1"/>
  <c r="N168" i="1" s="1"/>
  <c r="Q167" i="1"/>
  <c r="O167" i="1"/>
  <c r="M167" i="1"/>
  <c r="P167" i="1" s="1"/>
  <c r="Q166" i="1"/>
  <c r="O166" i="1"/>
  <c r="M166" i="1"/>
  <c r="N166" i="1" s="1"/>
  <c r="Q165" i="1"/>
  <c r="O165" i="1"/>
  <c r="M165" i="1"/>
  <c r="Q164" i="1"/>
  <c r="O164" i="1"/>
  <c r="M164" i="1"/>
  <c r="N164" i="1" s="1"/>
  <c r="Q163" i="1"/>
  <c r="O163" i="1"/>
  <c r="M163" i="1"/>
  <c r="N163" i="1" s="1"/>
  <c r="Q162" i="1"/>
  <c r="O162" i="1"/>
  <c r="M162" i="1"/>
  <c r="P162" i="1" s="1"/>
  <c r="Q161" i="1"/>
  <c r="O161" i="1"/>
  <c r="M161" i="1"/>
  <c r="N161" i="1" s="1"/>
  <c r="Q160" i="1"/>
  <c r="O160" i="1"/>
  <c r="M160" i="1"/>
  <c r="N160" i="1" s="1"/>
  <c r="Q159" i="1"/>
  <c r="O159" i="1"/>
  <c r="M159" i="1"/>
  <c r="P159" i="1" s="1"/>
  <c r="Q158" i="1"/>
  <c r="O158" i="1"/>
  <c r="M158" i="1"/>
  <c r="P158" i="1" s="1"/>
  <c r="Q157" i="1"/>
  <c r="O157" i="1"/>
  <c r="M157" i="1"/>
  <c r="P157" i="1" s="1"/>
  <c r="Q156" i="1"/>
  <c r="O156" i="1"/>
  <c r="M156" i="1"/>
  <c r="N156" i="1" s="1"/>
  <c r="Q155" i="1"/>
  <c r="O155" i="1"/>
  <c r="M155" i="1"/>
  <c r="P155" i="1" s="1"/>
  <c r="Q154" i="1"/>
  <c r="O154" i="1"/>
  <c r="M154" i="1"/>
  <c r="P154" i="1" s="1"/>
  <c r="Q153" i="1"/>
  <c r="O153" i="1"/>
  <c r="M153" i="1"/>
  <c r="N153" i="1" s="1"/>
  <c r="Q152" i="1"/>
  <c r="O152" i="1"/>
  <c r="M152" i="1"/>
  <c r="N152" i="1" s="1"/>
  <c r="Q151" i="1"/>
  <c r="O151" i="1"/>
  <c r="M151" i="1"/>
  <c r="P151" i="1" s="1"/>
  <c r="Q150" i="1"/>
  <c r="O150" i="1"/>
  <c r="M150" i="1"/>
  <c r="Q149" i="1"/>
  <c r="O149" i="1"/>
  <c r="M149" i="1"/>
  <c r="P149" i="1" s="1"/>
  <c r="Q148" i="1"/>
  <c r="O148" i="1"/>
  <c r="M148" i="1"/>
  <c r="P148" i="1" s="1"/>
  <c r="Q147" i="1"/>
  <c r="O147" i="1"/>
  <c r="M147" i="1"/>
  <c r="P147" i="1" s="1"/>
  <c r="Q146" i="1"/>
  <c r="O146" i="1"/>
  <c r="M146" i="1"/>
  <c r="N146" i="1" s="1"/>
  <c r="Q145" i="1"/>
  <c r="O145" i="1"/>
  <c r="M145" i="1"/>
  <c r="P145" i="1" s="1"/>
  <c r="Q144" i="1"/>
  <c r="O144" i="1"/>
  <c r="M144" i="1"/>
  <c r="N144" i="1" s="1"/>
  <c r="Q143" i="1"/>
  <c r="O143" i="1"/>
  <c r="M143" i="1"/>
  <c r="P143" i="1" s="1"/>
  <c r="Q142" i="1"/>
  <c r="O142" i="1"/>
  <c r="M142" i="1"/>
  <c r="N142" i="1" s="1"/>
  <c r="Q141" i="1"/>
  <c r="O141" i="1"/>
  <c r="M141" i="1"/>
  <c r="Q140" i="1"/>
  <c r="O140" i="1"/>
  <c r="M140" i="1"/>
  <c r="Q139" i="1"/>
  <c r="O139" i="1"/>
  <c r="M139" i="1"/>
  <c r="Q138" i="1"/>
  <c r="O138" i="1"/>
  <c r="M138" i="1"/>
  <c r="Q137" i="1"/>
  <c r="O137" i="1"/>
  <c r="M137" i="1"/>
  <c r="N137" i="1" s="1"/>
  <c r="Q136" i="1"/>
  <c r="O136" i="1"/>
  <c r="M136" i="1"/>
  <c r="P136" i="1" s="1"/>
  <c r="Q135" i="1"/>
  <c r="O135" i="1"/>
  <c r="M135" i="1"/>
  <c r="P135" i="1" s="1"/>
  <c r="Q134" i="1"/>
  <c r="O134" i="1"/>
  <c r="M134" i="1"/>
  <c r="Q133" i="1"/>
  <c r="O133" i="1"/>
  <c r="M133" i="1"/>
  <c r="P133" i="1" s="1"/>
  <c r="Q132" i="1"/>
  <c r="O132" i="1"/>
  <c r="M132" i="1"/>
  <c r="P132" i="1" s="1"/>
  <c r="Q131" i="1"/>
  <c r="O131" i="1"/>
  <c r="M131" i="1"/>
  <c r="P131" i="1" s="1"/>
  <c r="Q130" i="1"/>
  <c r="O130" i="1"/>
  <c r="M130" i="1"/>
  <c r="P130" i="1" s="1"/>
  <c r="Q129" i="1"/>
  <c r="O129" i="1"/>
  <c r="M129" i="1"/>
  <c r="Q128" i="1"/>
  <c r="O128" i="1"/>
  <c r="M128" i="1"/>
  <c r="Q127" i="1"/>
  <c r="O127" i="1"/>
  <c r="M127" i="1"/>
  <c r="P127" i="1" s="1"/>
  <c r="Q126" i="1"/>
  <c r="O126" i="1"/>
  <c r="M126" i="1"/>
  <c r="P126" i="1" s="1"/>
  <c r="Q125" i="1"/>
  <c r="O125" i="1"/>
  <c r="M125" i="1"/>
  <c r="N125" i="1" s="1"/>
  <c r="Q124" i="1"/>
  <c r="O124" i="1"/>
  <c r="M124" i="1"/>
  <c r="P124" i="1" s="1"/>
  <c r="Q123" i="1"/>
  <c r="O123" i="1"/>
  <c r="M123" i="1"/>
  <c r="P123" i="1" s="1"/>
  <c r="Q122" i="1"/>
  <c r="O122" i="1"/>
  <c r="M122" i="1"/>
  <c r="Q121" i="1"/>
  <c r="O121" i="1"/>
  <c r="M121" i="1"/>
  <c r="P121" i="1" s="1"/>
  <c r="Q120" i="1"/>
  <c r="O120" i="1"/>
  <c r="M120" i="1"/>
  <c r="N120" i="1" s="1"/>
  <c r="Q119" i="1"/>
  <c r="O119" i="1"/>
  <c r="M119" i="1"/>
  <c r="P119" i="1" s="1"/>
  <c r="Q118" i="1"/>
  <c r="O118" i="1"/>
  <c r="M118" i="1"/>
  <c r="N118" i="1" s="1"/>
  <c r="Q117" i="1"/>
  <c r="O117" i="1"/>
  <c r="M117" i="1"/>
  <c r="N117" i="1" s="1"/>
  <c r="Q116" i="1"/>
  <c r="O116" i="1"/>
  <c r="M116" i="1"/>
  <c r="N116" i="1" s="1"/>
  <c r="Q115" i="1"/>
  <c r="O115" i="1"/>
  <c r="M115" i="1"/>
  <c r="Q114" i="1"/>
  <c r="O114" i="1"/>
  <c r="M114" i="1"/>
  <c r="N114" i="1" s="1"/>
  <c r="Q113" i="1"/>
  <c r="O113" i="1"/>
  <c r="M113" i="1"/>
  <c r="N113" i="1" s="1"/>
  <c r="Q112" i="1"/>
  <c r="O112" i="1"/>
  <c r="M112" i="1"/>
  <c r="Q111" i="1"/>
  <c r="O111" i="1"/>
  <c r="M111" i="1"/>
  <c r="P111" i="1" s="1"/>
  <c r="Q110" i="1"/>
  <c r="O110" i="1"/>
  <c r="M110" i="1"/>
  <c r="P110" i="1" s="1"/>
  <c r="Q109" i="1"/>
  <c r="O109" i="1"/>
  <c r="M109" i="1"/>
  <c r="P109" i="1" s="1"/>
  <c r="Q108" i="1"/>
  <c r="O108" i="1"/>
  <c r="M108" i="1"/>
  <c r="N108" i="1" s="1"/>
  <c r="Q107" i="1"/>
  <c r="O107" i="1"/>
  <c r="M107" i="1"/>
  <c r="P107" i="1" s="1"/>
  <c r="Q106" i="1"/>
  <c r="O106" i="1"/>
  <c r="M106" i="1"/>
  <c r="P106" i="1" s="1"/>
  <c r="Q105" i="1"/>
  <c r="O105" i="1"/>
  <c r="M105" i="1"/>
  <c r="Q104" i="1"/>
  <c r="O104" i="1"/>
  <c r="M104" i="1"/>
  <c r="N104" i="1" s="1"/>
  <c r="Q103" i="1"/>
  <c r="O103" i="1"/>
  <c r="M103" i="1"/>
  <c r="P103" i="1" s="1"/>
  <c r="Q102" i="1"/>
  <c r="O102" i="1"/>
  <c r="M102" i="1"/>
  <c r="P102" i="1" s="1"/>
  <c r="Q101" i="1"/>
  <c r="O101" i="1"/>
  <c r="M101" i="1"/>
  <c r="N101" i="1" s="1"/>
  <c r="Q100" i="1"/>
  <c r="O100" i="1"/>
  <c r="M100" i="1"/>
  <c r="P100" i="1" s="1"/>
  <c r="Q99" i="1"/>
  <c r="O99" i="1"/>
  <c r="M99" i="1"/>
  <c r="P99" i="1" s="1"/>
  <c r="Q98" i="1"/>
  <c r="O98" i="1"/>
  <c r="M98" i="1"/>
  <c r="N98" i="1" s="1"/>
  <c r="Q97" i="1"/>
  <c r="O97" i="1"/>
  <c r="M97" i="1"/>
  <c r="P97" i="1" s="1"/>
  <c r="Q96" i="1"/>
  <c r="O96" i="1"/>
  <c r="M96" i="1"/>
  <c r="N96" i="1" s="1"/>
  <c r="Q95" i="1"/>
  <c r="O95" i="1"/>
  <c r="M95" i="1"/>
  <c r="P95" i="1" s="1"/>
  <c r="Q94" i="1"/>
  <c r="O94" i="1"/>
  <c r="M94" i="1"/>
  <c r="N94" i="1" s="1"/>
  <c r="Q93" i="1"/>
  <c r="O93" i="1"/>
  <c r="M93" i="1"/>
  <c r="N93" i="1" s="1"/>
  <c r="Q92" i="1"/>
  <c r="O92" i="1"/>
  <c r="M92" i="1"/>
  <c r="N92" i="1" s="1"/>
  <c r="Q91" i="1"/>
  <c r="O91" i="1"/>
  <c r="M91" i="1"/>
  <c r="P91" i="1" s="1"/>
  <c r="Q90" i="1"/>
  <c r="O90" i="1"/>
  <c r="M90" i="1"/>
  <c r="N90" i="1" s="1"/>
  <c r="Q89" i="1"/>
  <c r="O89" i="1"/>
  <c r="M89" i="1"/>
  <c r="N89" i="1" s="1"/>
  <c r="Q88" i="1"/>
  <c r="O88" i="1"/>
  <c r="M88" i="1"/>
  <c r="N88" i="1" s="1"/>
  <c r="Q87" i="1"/>
  <c r="O87" i="1"/>
  <c r="M87" i="1"/>
  <c r="P87" i="1" s="1"/>
  <c r="Q86" i="1"/>
  <c r="O86" i="1"/>
  <c r="M86" i="1"/>
  <c r="Q85" i="1"/>
  <c r="O85" i="1"/>
  <c r="M85" i="1"/>
  <c r="P85" i="1" s="1"/>
  <c r="Q84" i="1"/>
  <c r="O84" i="1"/>
  <c r="M84" i="1"/>
  <c r="N84" i="1" s="1"/>
  <c r="Q83" i="1"/>
  <c r="O83" i="1"/>
  <c r="M83" i="1"/>
  <c r="P83" i="1" s="1"/>
  <c r="Q82" i="1"/>
  <c r="O82" i="1"/>
  <c r="M82" i="1"/>
  <c r="P82" i="1" s="1"/>
  <c r="Q81" i="1"/>
  <c r="O81" i="1"/>
  <c r="M81" i="1"/>
  <c r="N81" i="1" s="1"/>
  <c r="Q80" i="1"/>
  <c r="O80" i="1"/>
  <c r="M80" i="1"/>
  <c r="N80" i="1" s="1"/>
  <c r="Q79" i="1"/>
  <c r="O79" i="1"/>
  <c r="M79" i="1"/>
  <c r="Q78" i="1"/>
  <c r="O78" i="1"/>
  <c r="M78" i="1"/>
  <c r="N78" i="1" s="1"/>
  <c r="Q77" i="1"/>
  <c r="O77" i="1"/>
  <c r="M77" i="1"/>
  <c r="N77" i="1" s="1"/>
  <c r="Q76" i="1"/>
  <c r="O76" i="1"/>
  <c r="M76" i="1"/>
  <c r="P76" i="1" s="1"/>
  <c r="Q75" i="1"/>
  <c r="O75" i="1"/>
  <c r="M75" i="1"/>
  <c r="P75" i="1" s="1"/>
  <c r="Q74" i="1"/>
  <c r="O74" i="1"/>
  <c r="M74" i="1"/>
  <c r="N74" i="1" s="1"/>
  <c r="Q73" i="1"/>
  <c r="O73" i="1"/>
  <c r="M73" i="1"/>
  <c r="P73" i="1" s="1"/>
  <c r="Q72" i="1"/>
  <c r="O72" i="1"/>
  <c r="M72" i="1"/>
  <c r="N72" i="1" s="1"/>
  <c r="Q71" i="1"/>
  <c r="O71" i="1"/>
  <c r="M71" i="1"/>
  <c r="P71" i="1" s="1"/>
  <c r="Q70" i="1"/>
  <c r="O70" i="1"/>
  <c r="M70" i="1"/>
  <c r="P70" i="1" s="1"/>
  <c r="Q69" i="1"/>
  <c r="O69" i="1"/>
  <c r="M69" i="1"/>
  <c r="Q68" i="1"/>
  <c r="O68" i="1"/>
  <c r="M68" i="1"/>
  <c r="N68" i="1" s="1"/>
  <c r="Q67" i="1"/>
  <c r="O67" i="1"/>
  <c r="M67" i="1"/>
  <c r="N67" i="1" s="1"/>
  <c r="Q66" i="1"/>
  <c r="O66" i="1"/>
  <c r="M66" i="1"/>
  <c r="P66" i="1" s="1"/>
  <c r="Q65" i="1"/>
  <c r="O65" i="1"/>
  <c r="M65" i="1"/>
  <c r="N65" i="1" s="1"/>
  <c r="Q64" i="1"/>
  <c r="O64" i="1"/>
  <c r="M64" i="1"/>
  <c r="P64" i="1" s="1"/>
  <c r="Q63" i="1"/>
  <c r="O63" i="1"/>
  <c r="M63" i="1"/>
  <c r="P63" i="1" s="1"/>
  <c r="Q62" i="1"/>
  <c r="O62" i="1"/>
  <c r="M62" i="1"/>
  <c r="P62" i="1" s="1"/>
  <c r="Q61" i="1"/>
  <c r="O61" i="1"/>
  <c r="M61" i="1"/>
  <c r="P61" i="1" s="1"/>
  <c r="Q60" i="1"/>
  <c r="O60" i="1"/>
  <c r="M60" i="1"/>
  <c r="N60" i="1" s="1"/>
  <c r="Q59" i="1"/>
  <c r="O59" i="1"/>
  <c r="M59" i="1"/>
  <c r="P59" i="1" s="1"/>
  <c r="Q58" i="1"/>
  <c r="O58" i="1"/>
  <c r="M58" i="1"/>
  <c r="N58" i="1" s="1"/>
  <c r="Q57" i="1"/>
  <c r="O57" i="1"/>
  <c r="M57" i="1"/>
  <c r="N57" i="1" s="1"/>
  <c r="Q56" i="1"/>
  <c r="O56" i="1"/>
  <c r="M56" i="1"/>
  <c r="Q55" i="1"/>
  <c r="O55" i="1"/>
  <c r="M55" i="1"/>
  <c r="P55" i="1" s="1"/>
  <c r="Q54" i="1"/>
  <c r="O54" i="1"/>
  <c r="M54" i="1"/>
  <c r="Q53" i="1"/>
  <c r="O53" i="1"/>
  <c r="M53" i="1"/>
  <c r="N53" i="1" s="1"/>
  <c r="Q52" i="1"/>
  <c r="O52" i="1"/>
  <c r="M52" i="1"/>
  <c r="P52" i="1" s="1"/>
  <c r="Q51" i="1"/>
  <c r="O51" i="1"/>
  <c r="M51" i="1"/>
  <c r="P51" i="1" s="1"/>
  <c r="Q50" i="1"/>
  <c r="O50" i="1"/>
  <c r="M50" i="1"/>
  <c r="P50" i="1" s="1"/>
  <c r="Q49" i="1"/>
  <c r="O49" i="1"/>
  <c r="M49" i="1"/>
  <c r="P49" i="1" s="1"/>
  <c r="Q48" i="1"/>
  <c r="O48" i="1"/>
  <c r="M48" i="1"/>
  <c r="N48" i="1" s="1"/>
  <c r="Q47" i="1"/>
  <c r="O47" i="1"/>
  <c r="M47" i="1"/>
  <c r="P47" i="1" s="1"/>
  <c r="Q46" i="1"/>
  <c r="O46" i="1"/>
  <c r="M46" i="1"/>
  <c r="P46" i="1" s="1"/>
  <c r="Q45" i="1"/>
  <c r="O45" i="1"/>
  <c r="M45" i="1"/>
  <c r="N45" i="1" s="1"/>
  <c r="Q44" i="1"/>
  <c r="O44" i="1"/>
  <c r="M44" i="1"/>
  <c r="Q43" i="1"/>
  <c r="O43" i="1"/>
  <c r="M43" i="1"/>
  <c r="P43" i="1" s="1"/>
  <c r="Q42" i="1"/>
  <c r="O42" i="1"/>
  <c r="M42" i="1"/>
  <c r="N42" i="1" s="1"/>
  <c r="Q41" i="1"/>
  <c r="O41" i="1"/>
  <c r="M41" i="1"/>
  <c r="N41" i="1" s="1"/>
  <c r="Q40" i="1"/>
  <c r="O40" i="1"/>
  <c r="M40" i="1"/>
  <c r="P40" i="1" s="1"/>
  <c r="Q39" i="1"/>
  <c r="O39" i="1"/>
  <c r="M39" i="1"/>
  <c r="P39" i="1" s="1"/>
  <c r="Q38" i="1"/>
  <c r="O38" i="1"/>
  <c r="M38" i="1"/>
  <c r="Q37" i="1"/>
  <c r="O37" i="1"/>
  <c r="M37" i="1"/>
  <c r="P37" i="1" s="1"/>
  <c r="Q36" i="1"/>
  <c r="O36" i="1"/>
  <c r="M36" i="1"/>
  <c r="N36" i="1" s="1"/>
  <c r="Q35" i="1"/>
  <c r="O35" i="1"/>
  <c r="M35" i="1"/>
  <c r="P35" i="1" s="1"/>
  <c r="Q34" i="1"/>
  <c r="O34" i="1"/>
  <c r="M34" i="1"/>
  <c r="N34" i="1" s="1"/>
  <c r="Q33" i="1"/>
  <c r="O33" i="1"/>
  <c r="M33" i="1"/>
  <c r="N33" i="1" s="1"/>
  <c r="Q32" i="1"/>
  <c r="O32" i="1"/>
  <c r="M32" i="1"/>
  <c r="N32" i="1" s="1"/>
  <c r="Q31" i="1"/>
  <c r="O31" i="1"/>
  <c r="M31" i="1"/>
  <c r="Q30" i="1"/>
  <c r="O30" i="1"/>
  <c r="M30" i="1"/>
  <c r="P30" i="1" s="1"/>
  <c r="Q29" i="1"/>
  <c r="O29" i="1"/>
  <c r="M29" i="1"/>
  <c r="N29" i="1" s="1"/>
  <c r="Q28" i="1"/>
  <c r="O28" i="1"/>
  <c r="M28" i="1"/>
  <c r="P28" i="1" s="1"/>
  <c r="Q27" i="1"/>
  <c r="O27" i="1"/>
  <c r="M27" i="1"/>
  <c r="P27" i="1" s="1"/>
  <c r="Q26" i="1"/>
  <c r="O26" i="1"/>
  <c r="M26" i="1"/>
  <c r="P26" i="1" s="1"/>
  <c r="Q25" i="1"/>
  <c r="O25" i="1"/>
  <c r="M25" i="1"/>
  <c r="P25" i="1" s="1"/>
  <c r="Q24" i="1"/>
  <c r="O24" i="1"/>
  <c r="M24" i="1"/>
  <c r="N24" i="1" s="1"/>
  <c r="Q23" i="1"/>
  <c r="O23" i="1"/>
  <c r="M23" i="1"/>
  <c r="P23" i="1" s="1"/>
  <c r="Q22" i="1"/>
  <c r="O22" i="1"/>
  <c r="M22" i="1"/>
  <c r="P22" i="1" s="1"/>
  <c r="Q21" i="1"/>
  <c r="O21" i="1"/>
  <c r="M21" i="1"/>
  <c r="Q20" i="1"/>
  <c r="O20" i="1"/>
  <c r="M20" i="1"/>
  <c r="N20" i="1" s="1"/>
  <c r="Q19" i="1"/>
  <c r="O19" i="1"/>
  <c r="M19" i="1"/>
  <c r="P19" i="1" s="1"/>
  <c r="Q18" i="1"/>
  <c r="O18" i="1"/>
  <c r="M18" i="1"/>
  <c r="P18" i="1" s="1"/>
  <c r="Q17" i="1"/>
  <c r="O17" i="1"/>
  <c r="M17" i="1"/>
  <c r="P17" i="1" s="1"/>
  <c r="Q16" i="1"/>
  <c r="O16" i="1"/>
  <c r="M16" i="1"/>
  <c r="N16" i="1" s="1"/>
  <c r="Q15" i="1"/>
  <c r="O15" i="1"/>
  <c r="M15" i="1"/>
  <c r="P15" i="1" s="1"/>
  <c r="Q14" i="1"/>
  <c r="O14" i="1"/>
  <c r="M14" i="1"/>
  <c r="P14" i="1" s="1"/>
  <c r="Q13" i="1"/>
  <c r="O13" i="1"/>
  <c r="M13" i="1"/>
  <c r="P13" i="1" s="1"/>
  <c r="Q12" i="1"/>
  <c r="O12" i="1"/>
  <c r="M12" i="1"/>
  <c r="N12" i="1" s="1"/>
  <c r="Q11" i="1"/>
  <c r="O11" i="1"/>
  <c r="M11" i="1"/>
  <c r="P11" i="1" s="1"/>
  <c r="Q10" i="1"/>
  <c r="O10" i="1"/>
  <c r="M10" i="1"/>
  <c r="N10" i="1" s="1"/>
  <c r="Q9" i="1"/>
  <c r="O9" i="1"/>
  <c r="M9" i="1"/>
  <c r="N9" i="1" s="1"/>
  <c r="Q8" i="1"/>
  <c r="O8" i="1"/>
  <c r="M8" i="1"/>
  <c r="N8" i="1" s="1"/>
  <c r="Q7" i="1"/>
  <c r="O7" i="1"/>
  <c r="M7" i="1"/>
  <c r="Q6" i="1"/>
  <c r="O6" i="1"/>
  <c r="M6" i="1"/>
  <c r="N6" i="1" s="1"/>
  <c r="Q5" i="1"/>
  <c r="O5" i="1"/>
  <c r="M5" i="1"/>
  <c r="P5" i="1" s="1"/>
  <c r="Q4" i="1"/>
  <c r="O4" i="1"/>
  <c r="M4" i="1"/>
  <c r="Q3" i="1"/>
  <c r="O3" i="1"/>
  <c r="M3" i="1"/>
  <c r="P3" i="1" s="1"/>
  <c r="Q2" i="1"/>
  <c r="O2" i="1"/>
  <c r="M2" i="1"/>
  <c r="P2" i="1" s="1"/>
  <c r="P117" i="1" l="1"/>
  <c r="P74" i="1"/>
  <c r="P275" i="1"/>
  <c r="N14" i="1"/>
  <c r="P92" i="1"/>
  <c r="N253" i="1"/>
  <c r="P163" i="1"/>
  <c r="P42" i="1"/>
  <c r="P235" i="1"/>
  <c r="N286" i="1"/>
  <c r="P146" i="1"/>
  <c r="P228" i="1"/>
  <c r="P213" i="1"/>
  <c r="P88" i="1"/>
  <c r="P170" i="1"/>
  <c r="P319" i="1"/>
  <c r="P210" i="1"/>
  <c r="P152" i="1"/>
  <c r="N4" i="1"/>
  <c r="P4" i="1"/>
  <c r="N139" i="1"/>
  <c r="P139" i="1"/>
  <c r="N236" i="1"/>
  <c r="P236" i="1"/>
  <c r="N28" i="1"/>
  <c r="P86" i="1"/>
  <c r="N86" i="1"/>
  <c r="N136" i="1"/>
  <c r="P67" i="1"/>
  <c r="P78" i="1"/>
  <c r="P218" i="1"/>
  <c r="N218" i="1"/>
  <c r="N64" i="1"/>
  <c r="N129" i="1"/>
  <c r="P129" i="1"/>
  <c r="N323" i="1"/>
  <c r="N327" i="1"/>
  <c r="P327" i="1"/>
  <c r="N102" i="1"/>
  <c r="N261" i="1"/>
  <c r="N265" i="1"/>
  <c r="P265" i="1"/>
  <c r="N312" i="1"/>
  <c r="P160" i="1"/>
  <c r="N122" i="1"/>
  <c r="P122" i="1"/>
  <c r="P309" i="1"/>
  <c r="N309" i="1"/>
  <c r="N239" i="1"/>
  <c r="P239" i="1"/>
  <c r="N54" i="1"/>
  <c r="P54" i="1"/>
  <c r="N182" i="1"/>
  <c r="N280" i="1"/>
  <c r="N306" i="1"/>
  <c r="N26" i="1"/>
  <c r="N100" i="1"/>
  <c r="N126" i="1"/>
  <c r="N133" i="1"/>
  <c r="P287" i="1"/>
  <c r="N19" i="1"/>
  <c r="N62" i="1"/>
  <c r="P68" i="1"/>
  <c r="N172" i="1"/>
  <c r="P175" i="1"/>
  <c r="N240" i="1"/>
  <c r="P247" i="1"/>
  <c r="P284" i="1"/>
  <c r="P324" i="1"/>
  <c r="N2" i="1"/>
  <c r="N52" i="1"/>
  <c r="N55" i="1"/>
  <c r="P93" i="1"/>
  <c r="N151" i="1"/>
  <c r="N169" i="1"/>
  <c r="N237" i="1"/>
  <c r="P277" i="1"/>
  <c r="N336" i="1"/>
  <c r="N30" i="1"/>
  <c r="P90" i="1"/>
  <c r="N148" i="1"/>
  <c r="N194" i="1"/>
  <c r="P212" i="1"/>
  <c r="N300" i="1"/>
  <c r="P9" i="1"/>
  <c r="P16" i="1"/>
  <c r="N145" i="1"/>
  <c r="N187" i="1"/>
  <c r="P45" i="1"/>
  <c r="P80" i="1"/>
  <c r="P176" i="1"/>
  <c r="P6" i="1"/>
  <c r="P20" i="1"/>
  <c r="P98" i="1"/>
  <c r="P206" i="1"/>
  <c r="N21" i="1"/>
  <c r="P21" i="1"/>
  <c r="P112" i="1"/>
  <c r="N112" i="1"/>
  <c r="N224" i="1"/>
  <c r="P224" i="1"/>
  <c r="N58" i="2"/>
  <c r="P58" i="2"/>
  <c r="N18" i="1"/>
  <c r="N217" i="1"/>
  <c r="N251" i="1"/>
  <c r="N258" i="1"/>
  <c r="N37" i="2"/>
  <c r="P37" i="2"/>
  <c r="N41" i="2"/>
  <c r="P45" i="2"/>
  <c r="N45" i="2"/>
  <c r="N120" i="2"/>
  <c r="P155" i="2"/>
  <c r="N155" i="2"/>
  <c r="N212" i="2"/>
  <c r="N248" i="2"/>
  <c r="N336" i="2"/>
  <c r="P336" i="2"/>
  <c r="P79" i="1"/>
  <c r="N79" i="1"/>
  <c r="N105" i="1"/>
  <c r="P105" i="1"/>
  <c r="P150" i="1"/>
  <c r="N150" i="1"/>
  <c r="P200" i="1"/>
  <c r="N244" i="1"/>
  <c r="P28" i="2"/>
  <c r="N33" i="2"/>
  <c r="N54" i="2"/>
  <c r="N191" i="2"/>
  <c r="P259" i="2"/>
  <c r="N259" i="2"/>
  <c r="N319" i="2"/>
  <c r="N332" i="2"/>
  <c r="P8" i="1"/>
  <c r="N69" i="1"/>
  <c r="P69" i="1"/>
  <c r="N76" i="1"/>
  <c r="P116" i="1"/>
  <c r="N140" i="1"/>
  <c r="P140" i="1"/>
  <c r="N248" i="1"/>
  <c r="P248" i="1"/>
  <c r="N320" i="1"/>
  <c r="P320" i="1"/>
  <c r="N2" i="2"/>
  <c r="N6" i="2"/>
  <c r="P10" i="2"/>
  <c r="P50" i="2"/>
  <c r="N50" i="2"/>
  <c r="P124" i="2"/>
  <c r="P151" i="2"/>
  <c r="N151" i="2"/>
  <c r="N223" i="2"/>
  <c r="N228" i="2"/>
  <c r="P228" i="2"/>
  <c r="P298" i="2"/>
  <c r="N298" i="2"/>
  <c r="P315" i="2"/>
  <c r="N40" i="1"/>
  <c r="N66" i="1"/>
  <c r="P184" i="1"/>
  <c r="N184" i="1"/>
  <c r="P211" i="1"/>
  <c r="N211" i="1"/>
  <c r="N241" i="1"/>
  <c r="N283" i="1"/>
  <c r="P283" i="1"/>
  <c r="P303" i="1"/>
  <c r="N337" i="1"/>
  <c r="N25" i="2"/>
  <c r="P25" i="2"/>
  <c r="N29" i="2"/>
  <c r="N73" i="2"/>
  <c r="P85" i="2"/>
  <c r="N203" i="2"/>
  <c r="N294" i="2"/>
  <c r="P294" i="2"/>
  <c r="N43" i="1"/>
  <c r="N50" i="1"/>
  <c r="N56" i="1"/>
  <c r="P56" i="1"/>
  <c r="P134" i="1"/>
  <c r="N134" i="1"/>
  <c r="N174" i="1"/>
  <c r="N177" i="1"/>
  <c r="P177" i="1"/>
  <c r="P181" i="1"/>
  <c r="N181" i="1"/>
  <c r="N198" i="1"/>
  <c r="N208" i="1"/>
  <c r="N232" i="1"/>
  <c r="N273" i="1"/>
  <c r="N276" i="1"/>
  <c r="N297" i="1"/>
  <c r="N313" i="1"/>
  <c r="N78" i="2"/>
  <c r="N82" i="2"/>
  <c r="P82" i="2"/>
  <c r="P86" i="2"/>
  <c r="N86" i="2"/>
  <c r="N106" i="2"/>
  <c r="N121" i="2"/>
  <c r="P131" i="2"/>
  <c r="N131" i="2"/>
  <c r="N168" i="2"/>
  <c r="N177" i="2"/>
  <c r="N187" i="2"/>
  <c r="P208" i="2"/>
  <c r="N219" i="2"/>
  <c r="P219" i="2"/>
  <c r="N316" i="2"/>
  <c r="N110" i="1"/>
  <c r="N124" i="1"/>
  <c r="N127" i="1"/>
  <c r="N141" i="1"/>
  <c r="P141" i="1"/>
  <c r="N158" i="1"/>
  <c r="P201" i="1"/>
  <c r="N205" i="1"/>
  <c r="N307" i="1"/>
  <c r="P331" i="1"/>
  <c r="N335" i="1"/>
  <c r="N3" i="2"/>
  <c r="N7" i="2"/>
  <c r="P7" i="2"/>
  <c r="N21" i="2"/>
  <c r="N66" i="2"/>
  <c r="N102" i="2"/>
  <c r="P111" i="2"/>
  <c r="P172" i="2"/>
  <c r="N182" i="2"/>
  <c r="P204" i="2"/>
  <c r="N204" i="2"/>
  <c r="N304" i="2"/>
  <c r="N308" i="2"/>
  <c r="P312" i="2"/>
  <c r="P33" i="1"/>
  <c r="N103" i="1"/>
  <c r="N121" i="1"/>
  <c r="P138" i="1"/>
  <c r="N138" i="1"/>
  <c r="P164" i="1"/>
  <c r="N226" i="1"/>
  <c r="N229" i="1"/>
  <c r="P266" i="1"/>
  <c r="N294" i="1"/>
  <c r="P114" i="1"/>
  <c r="P270" i="1"/>
  <c r="N301" i="1"/>
  <c r="N332" i="1"/>
  <c r="P332" i="1"/>
  <c r="P70" i="2"/>
  <c r="N112" i="2"/>
  <c r="N169" i="2"/>
  <c r="N286" i="2"/>
  <c r="N309" i="2"/>
  <c r="P309" i="2"/>
  <c r="N313" i="2"/>
  <c r="P38" i="1"/>
  <c r="N38" i="1"/>
  <c r="N128" i="1"/>
  <c r="P128" i="1"/>
  <c r="N162" i="1"/>
  <c r="N165" i="1"/>
  <c r="P165" i="1"/>
  <c r="P188" i="1"/>
  <c r="P260" i="1"/>
  <c r="N325" i="1"/>
  <c r="N48" i="2"/>
  <c r="N67" i="2"/>
  <c r="P67" i="2"/>
  <c r="P75" i="2"/>
  <c r="N75" i="2"/>
  <c r="N148" i="2"/>
  <c r="P174" i="2"/>
  <c r="N174" i="2"/>
  <c r="N277" i="2"/>
  <c r="N282" i="2"/>
  <c r="P282" i="2"/>
  <c r="P300" i="2"/>
  <c r="P7" i="1"/>
  <c r="N7" i="1"/>
  <c r="N91" i="1"/>
  <c r="P115" i="1"/>
  <c r="N115" i="1"/>
  <c r="N264" i="1"/>
  <c r="P291" i="1"/>
  <c r="N295" i="1"/>
  <c r="P295" i="1"/>
  <c r="N88" i="2"/>
  <c r="P88" i="2"/>
  <c r="N159" i="2"/>
  <c r="P159" i="2"/>
  <c r="N236" i="2"/>
  <c r="N241" i="2"/>
  <c r="P301" i="2"/>
  <c r="N301" i="2"/>
  <c r="P31" i="1"/>
  <c r="N31" i="1"/>
  <c r="P81" i="1"/>
  <c r="N186" i="1"/>
  <c r="N288" i="1"/>
  <c r="P40" i="2"/>
  <c r="N44" i="2"/>
  <c r="P63" i="2"/>
  <c r="N63" i="2"/>
  <c r="N144" i="2"/>
  <c r="N273" i="2"/>
  <c r="P273" i="2"/>
  <c r="N296" i="2"/>
  <c r="P118" i="2"/>
  <c r="N118" i="2"/>
  <c r="N264" i="2"/>
  <c r="P264" i="2"/>
  <c r="N108" i="2"/>
  <c r="P108" i="2"/>
  <c r="N142" i="2"/>
  <c r="N160" i="2"/>
  <c r="P160" i="2"/>
  <c r="N190" i="2"/>
  <c r="N194" i="2"/>
  <c r="N44" i="1"/>
  <c r="P44" i="1"/>
  <c r="N109" i="1"/>
  <c r="P196" i="1"/>
  <c r="N196" i="1"/>
  <c r="P329" i="1"/>
  <c r="N329" i="1"/>
  <c r="P30" i="2"/>
  <c r="N30" i="2"/>
  <c r="N200" i="2"/>
  <c r="P205" i="2"/>
  <c r="N205" i="2"/>
  <c r="N230" i="2"/>
  <c r="P244" i="2"/>
  <c r="N250" i="2"/>
  <c r="P250" i="2"/>
  <c r="N255" i="2"/>
  <c r="P255" i="2"/>
  <c r="N293" i="2"/>
  <c r="P189" i="1"/>
  <c r="N193" i="1"/>
  <c r="P223" i="1"/>
  <c r="P252" i="1"/>
  <c r="N252" i="1"/>
  <c r="N269" i="1"/>
  <c r="P272" i="1"/>
  <c r="P315" i="1"/>
  <c r="N22" i="2"/>
  <c r="P22" i="2"/>
  <c r="N47" i="2"/>
  <c r="N59" i="2"/>
  <c r="N99" i="2"/>
  <c r="P138" i="2"/>
  <c r="P147" i="2"/>
  <c r="N156" i="2"/>
  <c r="N195" i="2"/>
  <c r="P195" i="2"/>
  <c r="P297" i="2"/>
  <c r="N331" i="2"/>
  <c r="N199" i="1"/>
  <c r="N221" i="1"/>
  <c r="N289" i="1"/>
  <c r="N311" i="1"/>
  <c r="N317" i="1"/>
  <c r="N15" i="2"/>
  <c r="N34" i="2"/>
  <c r="N60" i="2"/>
  <c r="N96" i="2"/>
  <c r="N170" i="2"/>
  <c r="N192" i="2"/>
  <c r="N278" i="2"/>
  <c r="N302" i="2"/>
  <c r="N325" i="2"/>
  <c r="P321" i="2"/>
  <c r="P255" i="1"/>
  <c r="P326" i="1"/>
  <c r="P52" i="2"/>
  <c r="P79" i="2"/>
  <c r="P183" i="2"/>
  <c r="P246" i="2"/>
  <c r="P291" i="2"/>
  <c r="P306" i="2"/>
  <c r="P32" i="1"/>
  <c r="P57" i="1"/>
  <c r="P104" i="1"/>
  <c r="P153" i="1"/>
  <c r="N157" i="1"/>
  <c r="N250" i="1"/>
  <c r="N262" i="1"/>
  <c r="P271" i="1"/>
  <c r="P308" i="1"/>
  <c r="N8" i="2"/>
  <c r="P19" i="2"/>
  <c r="P64" i="2"/>
  <c r="P100" i="2"/>
  <c r="N132" i="2"/>
  <c r="P136" i="2"/>
  <c r="N149" i="2"/>
  <c r="N167" i="2"/>
  <c r="P196" i="2"/>
  <c r="P210" i="2"/>
  <c r="N229" i="2"/>
  <c r="N242" i="2"/>
  <c r="P270" i="2"/>
  <c r="P259" i="1"/>
  <c r="P296" i="1"/>
  <c r="P339" i="1"/>
  <c r="N338" i="2"/>
  <c r="P339" i="2"/>
  <c r="N180" i="1"/>
  <c r="N38" i="2"/>
  <c r="N184" i="2"/>
  <c r="N5" i="1"/>
  <c r="N17" i="1"/>
  <c r="N149" i="1"/>
  <c r="N246" i="1"/>
  <c r="N299" i="1"/>
  <c r="P153" i="2"/>
  <c r="N153" i="2"/>
  <c r="N222" i="2"/>
  <c r="P222" i="2"/>
  <c r="N272" i="2"/>
  <c r="N329" i="2"/>
  <c r="P12" i="1"/>
  <c r="P24" i="1"/>
  <c r="P36" i="1"/>
  <c r="P48" i="1"/>
  <c r="N70" i="1"/>
  <c r="N82" i="1"/>
  <c r="P96" i="1"/>
  <c r="P108" i="1"/>
  <c r="N130" i="1"/>
  <c r="N154" i="1"/>
  <c r="N178" i="1"/>
  <c r="P192" i="1"/>
  <c r="N214" i="1"/>
  <c r="N238" i="1"/>
  <c r="P243" i="1"/>
  <c r="P254" i="1"/>
  <c r="P279" i="1"/>
  <c r="N74" i="2"/>
  <c r="N145" i="2"/>
  <c r="N239" i="2"/>
  <c r="N252" i="2"/>
  <c r="P252" i="2"/>
  <c r="P268" i="2"/>
  <c r="N15" i="1"/>
  <c r="N39" i="1"/>
  <c r="P41" i="1"/>
  <c r="P53" i="1"/>
  <c r="N63" i="1"/>
  <c r="P65" i="1"/>
  <c r="N75" i="1"/>
  <c r="P77" i="1"/>
  <c r="N87" i="1"/>
  <c r="P89" i="1"/>
  <c r="N99" i="1"/>
  <c r="P101" i="1"/>
  <c r="N111" i="1"/>
  <c r="P113" i="1"/>
  <c r="N123" i="1"/>
  <c r="P125" i="1"/>
  <c r="N135" i="1"/>
  <c r="P137" i="1"/>
  <c r="N147" i="1"/>
  <c r="N159" i="1"/>
  <c r="P161" i="1"/>
  <c r="N171" i="1"/>
  <c r="P173" i="1"/>
  <c r="N183" i="1"/>
  <c r="P185" i="1"/>
  <c r="N195" i="1"/>
  <c r="P197" i="1"/>
  <c r="N207" i="1"/>
  <c r="P209" i="1"/>
  <c r="N222" i="1"/>
  <c r="N233" i="1"/>
  <c r="P282" i="1"/>
  <c r="N330" i="1"/>
  <c r="P338" i="1"/>
  <c r="N14" i="2"/>
  <c r="N32" i="2"/>
  <c r="N53" i="2"/>
  <c r="N71" i="2"/>
  <c r="N93" i="2"/>
  <c r="N125" i="2"/>
  <c r="N165" i="2"/>
  <c r="N181" i="2"/>
  <c r="N197" i="2"/>
  <c r="N214" i="2"/>
  <c r="N218" i="2"/>
  <c r="P226" i="2"/>
  <c r="P243" i="2"/>
  <c r="P269" i="2"/>
  <c r="N269" i="2"/>
  <c r="N311" i="2"/>
  <c r="N326" i="2"/>
  <c r="P152" i="2"/>
  <c r="N152" i="2"/>
  <c r="N216" i="1"/>
  <c r="N304" i="1"/>
  <c r="P117" i="2"/>
  <c r="N117" i="2"/>
  <c r="N293" i="1"/>
  <c r="N321" i="1"/>
  <c r="N56" i="2"/>
  <c r="P189" i="2"/>
  <c r="N189" i="2"/>
  <c r="N247" i="2"/>
  <c r="N22" i="1"/>
  <c r="N46" i="1"/>
  <c r="P60" i="1"/>
  <c r="P84" i="1"/>
  <c r="N106" i="1"/>
  <c r="P120" i="1"/>
  <c r="P144" i="1"/>
  <c r="P156" i="1"/>
  <c r="P168" i="1"/>
  <c r="N202" i="1"/>
  <c r="N263" i="1"/>
  <c r="N285" i="1"/>
  <c r="N35" i="2"/>
  <c r="N201" i="2"/>
  <c r="P280" i="2"/>
  <c r="N27" i="1"/>
  <c r="N51" i="1"/>
  <c r="P10" i="1"/>
  <c r="P34" i="1"/>
  <c r="P58" i="1"/>
  <c r="P94" i="1"/>
  <c r="P118" i="1"/>
  <c r="P142" i="1"/>
  <c r="P166" i="1"/>
  <c r="P190" i="1"/>
  <c r="P219" i="1"/>
  <c r="N225" i="1"/>
  <c r="P230" i="1"/>
  <c r="N305" i="1"/>
  <c r="N316" i="1"/>
  <c r="P322" i="1"/>
  <c r="N322" i="1"/>
  <c r="N333" i="1"/>
  <c r="N11" i="2"/>
  <c r="N89" i="2"/>
  <c r="P130" i="2"/>
  <c r="N130" i="2"/>
  <c r="N161" i="2"/>
  <c r="P202" i="2"/>
  <c r="N202" i="2"/>
  <c r="N240" i="2"/>
  <c r="P240" i="2"/>
  <c r="N265" i="2"/>
  <c r="N132" i="1"/>
  <c r="N204" i="1"/>
  <c r="N318" i="1"/>
  <c r="P72" i="1"/>
  <c r="P227" i="1"/>
  <c r="N249" i="1"/>
  <c r="N274" i="1"/>
  <c r="P290" i="1"/>
  <c r="N109" i="2"/>
  <c r="N129" i="2"/>
  <c r="N3" i="1"/>
  <c r="P29" i="1"/>
  <c r="N13" i="1"/>
  <c r="N25" i="1"/>
  <c r="N37" i="1"/>
  <c r="N49" i="1"/>
  <c r="N61" i="1"/>
  <c r="N73" i="1"/>
  <c r="N85" i="1"/>
  <c r="N97" i="1"/>
  <c r="P302" i="1"/>
  <c r="P94" i="2"/>
  <c r="N94" i="2"/>
  <c r="P166" i="2"/>
  <c r="N166" i="2"/>
  <c r="P323" i="2"/>
  <c r="N323" i="2"/>
  <c r="N77" i="2"/>
  <c r="N164" i="2"/>
  <c r="P251" i="2"/>
  <c r="N251" i="2"/>
  <c r="N257" i="1"/>
  <c r="N268" i="1"/>
  <c r="P215" i="2"/>
  <c r="N215" i="2"/>
  <c r="N11" i="1"/>
  <c r="N23" i="1"/>
  <c r="N35" i="1"/>
  <c r="N47" i="1"/>
  <c r="N59" i="1"/>
  <c r="N71" i="1"/>
  <c r="N83" i="1"/>
  <c r="N95" i="1"/>
  <c r="N107" i="1"/>
  <c r="N119" i="1"/>
  <c r="N131" i="1"/>
  <c r="N143" i="1"/>
  <c r="N155" i="1"/>
  <c r="N167" i="1"/>
  <c r="N179" i="1"/>
  <c r="N191" i="1"/>
  <c r="N203" i="1"/>
  <c r="N215" i="1"/>
  <c r="N220" i="1"/>
  <c r="N234" i="1"/>
  <c r="N328" i="1"/>
  <c r="P334" i="1"/>
  <c r="N334" i="1"/>
  <c r="N26" i="2"/>
  <c r="N65" i="2"/>
  <c r="N115" i="2"/>
  <c r="N119" i="2"/>
  <c r="P126" i="2"/>
  <c r="N135" i="2"/>
  <c r="P143" i="2"/>
  <c r="N143" i="2"/>
  <c r="N158" i="2"/>
  <c r="N178" i="2"/>
  <c r="P198" i="2"/>
  <c r="N211" i="2"/>
  <c r="N258" i="2"/>
  <c r="P258" i="2"/>
  <c r="N290" i="2"/>
  <c r="P305" i="2"/>
  <c r="N305" i="2"/>
  <c r="N234" i="2"/>
  <c r="P234" i="2"/>
  <c r="P310" i="1"/>
  <c r="N310" i="1"/>
  <c r="N17" i="2"/>
  <c r="P231" i="1"/>
  <c r="P107" i="2"/>
  <c r="N107" i="2"/>
  <c r="P162" i="2"/>
  <c r="N216" i="2"/>
  <c r="P216" i="2"/>
  <c r="P188" i="2"/>
  <c r="N188" i="2"/>
  <c r="P90" i="2"/>
  <c r="N245" i="1"/>
  <c r="N256" i="1"/>
  <c r="N281" i="1"/>
  <c r="N292" i="1"/>
  <c r="P298" i="1"/>
  <c r="N298" i="1"/>
  <c r="P314" i="1"/>
  <c r="N23" i="2"/>
  <c r="N62" i="2"/>
  <c r="P139" i="2"/>
  <c r="P179" i="2"/>
  <c r="N179" i="2"/>
  <c r="P207" i="2"/>
  <c r="P233" i="2"/>
  <c r="N233" i="2"/>
  <c r="N254" i="2"/>
  <c r="P262" i="2"/>
  <c r="N275" i="2"/>
  <c r="N283" i="2"/>
  <c r="P287" i="2"/>
  <c r="N287" i="2"/>
  <c r="N92" i="2"/>
  <c r="P242" i="1"/>
  <c r="P267" i="1"/>
  <c r="P278" i="1"/>
  <c r="P103" i="2"/>
  <c r="P116" i="2"/>
  <c r="N116" i="2"/>
  <c r="N113" i="2"/>
  <c r="N185" i="2"/>
  <c r="N91" i="2"/>
  <c r="N104" i="2"/>
  <c r="N114" i="2"/>
  <c r="N127" i="2"/>
  <c r="N140" i="2"/>
  <c r="N150" i="2"/>
  <c r="N163" i="2"/>
  <c r="N176" i="2"/>
  <c r="N186" i="2"/>
  <c r="N199" i="2"/>
  <c r="N209" i="2"/>
  <c r="N220" i="2"/>
  <c r="N227" i="2"/>
  <c r="N238" i="2"/>
  <c r="N245" i="2"/>
  <c r="N256" i="2"/>
  <c r="N263" i="2"/>
  <c r="N274" i="2"/>
  <c r="N281" i="2"/>
  <c r="N299" i="2"/>
  <c r="N317" i="2"/>
  <c r="N335" i="2"/>
  <c r="N101" i="2"/>
  <c r="N137" i="2"/>
  <c r="N173" i="2"/>
  <c r="N98" i="2"/>
  <c r="N134" i="2"/>
  <c r="P213" i="2"/>
  <c r="P231" i="2"/>
  <c r="P249" i="2"/>
  <c r="P267" i="2"/>
</calcChain>
</file>

<file path=xl/sharedStrings.xml><?xml version="1.0" encoding="utf-8"?>
<sst xmlns="http://schemas.openxmlformats.org/spreadsheetml/2006/main" count="4456" uniqueCount="488">
  <si>
    <t>Loan_ID</t>
  </si>
  <si>
    <t>Gender</t>
  </si>
  <si>
    <t>Married</t>
  </si>
  <si>
    <t>Dependents</t>
  </si>
  <si>
    <t>Education</t>
  </si>
  <si>
    <t>Self_Employed</t>
  </si>
  <si>
    <t>ApplicantIncome</t>
  </si>
  <si>
    <t>CoapplicantIncome</t>
  </si>
  <si>
    <t>LoanAmount</t>
  </si>
  <si>
    <t>Loan_Amount_Term</t>
  </si>
  <si>
    <t>Credit_History</t>
  </si>
  <si>
    <t>Property_Area</t>
  </si>
  <si>
    <t xml:space="preserve">Total_Income </t>
  </si>
  <si>
    <t>Loan_to_Income_ratio</t>
  </si>
  <si>
    <t xml:space="preserve">EMI_estimate </t>
  </si>
  <si>
    <t>High_Income</t>
  </si>
  <si>
    <t>High_Loan</t>
  </si>
  <si>
    <t>LP001015</t>
  </si>
  <si>
    <t>Male</t>
  </si>
  <si>
    <t>Yes</t>
  </si>
  <si>
    <t>Graduate</t>
  </si>
  <si>
    <t>No</t>
  </si>
  <si>
    <t>Urban</t>
  </si>
  <si>
    <t>LP001022</t>
  </si>
  <si>
    <t>LP001031</t>
  </si>
  <si>
    <t>LP001035</t>
  </si>
  <si>
    <t>LP001051</t>
  </si>
  <si>
    <t>Not Graduate</t>
  </si>
  <si>
    <t>LP001054</t>
  </si>
  <si>
    <t>LP001055</t>
  </si>
  <si>
    <t>Female</t>
  </si>
  <si>
    <t>Semiurban</t>
  </si>
  <si>
    <t>LP001056</t>
  </si>
  <si>
    <t>Rural</t>
  </si>
  <si>
    <t>LP001059</t>
  </si>
  <si>
    <t>LP001067</t>
  </si>
  <si>
    <t>LP001078</t>
  </si>
  <si>
    <t>LP001082</t>
  </si>
  <si>
    <t>LP001083</t>
  </si>
  <si>
    <t>3+</t>
  </si>
  <si>
    <t>LP001094</t>
  </si>
  <si>
    <t>LP001096</t>
  </si>
  <si>
    <t>LP001099</t>
  </si>
  <si>
    <t>LP001105</t>
  </si>
  <si>
    <t>LP001107</t>
  </si>
  <si>
    <t>LP001108</t>
  </si>
  <si>
    <t>LP001115</t>
  </si>
  <si>
    <t>LP001121</t>
  </si>
  <si>
    <t>LP001124</t>
  </si>
  <si>
    <t>LP001128</t>
  </si>
  <si>
    <t>LP001135</t>
  </si>
  <si>
    <t>LP001149</t>
  </si>
  <si>
    <t>LP001153</t>
  </si>
  <si>
    <t>LP001163</t>
  </si>
  <si>
    <t>LP001169</t>
  </si>
  <si>
    <t>LP001174</t>
  </si>
  <si>
    <t>LP001176</t>
  </si>
  <si>
    <t>LP001177</t>
  </si>
  <si>
    <t>LP001183</t>
  </si>
  <si>
    <t>LP001185</t>
  </si>
  <si>
    <t>LP001187</t>
  </si>
  <si>
    <t>LP001190</t>
  </si>
  <si>
    <t>LP001203</t>
  </si>
  <si>
    <t>LP001208</t>
  </si>
  <si>
    <t>LP001210</t>
  </si>
  <si>
    <t>LP001211</t>
  </si>
  <si>
    <t>LP001219</t>
  </si>
  <si>
    <t>LP001220</t>
  </si>
  <si>
    <t>LP001221</t>
  </si>
  <si>
    <t>LP001226</t>
  </si>
  <si>
    <t>LP001230</t>
  </si>
  <si>
    <t>LP001231</t>
  </si>
  <si>
    <t>LP001232</t>
  </si>
  <si>
    <t>LP001237</t>
  </si>
  <si>
    <t>LP001242</t>
  </si>
  <si>
    <t>LP001268</t>
  </si>
  <si>
    <t>LP001270</t>
  </si>
  <si>
    <t>LP001284</t>
  </si>
  <si>
    <t>LP001287</t>
  </si>
  <si>
    <t>LP001291</t>
  </si>
  <si>
    <t>LP001298</t>
  </si>
  <si>
    <t>LP001312</t>
  </si>
  <si>
    <t>LP001313</t>
  </si>
  <si>
    <t>LP001317</t>
  </si>
  <si>
    <t>LP001321</t>
  </si>
  <si>
    <t>LP001323</t>
  </si>
  <si>
    <t>LP001324</t>
  </si>
  <si>
    <t>LP001332</t>
  </si>
  <si>
    <t>LP001335</t>
  </si>
  <si>
    <t>LP001338</t>
  </si>
  <si>
    <t>LP001347</t>
  </si>
  <si>
    <t>LP001348</t>
  </si>
  <si>
    <t>LP001351</t>
  </si>
  <si>
    <t>LP001352</t>
  </si>
  <si>
    <t>LP001358</t>
  </si>
  <si>
    <t>LP001359</t>
  </si>
  <si>
    <t>LP001361</t>
  </si>
  <si>
    <t>LP001366</t>
  </si>
  <si>
    <t>LP001368</t>
  </si>
  <si>
    <t>LP001375</t>
  </si>
  <si>
    <t>LP001380</t>
  </si>
  <si>
    <t>LP001386</t>
  </si>
  <si>
    <t>LP001400</t>
  </si>
  <si>
    <t>LP001407</t>
  </si>
  <si>
    <t>LP001413</t>
  </si>
  <si>
    <t>LP001415</t>
  </si>
  <si>
    <t>LP001419</t>
  </si>
  <si>
    <t>LP001420</t>
  </si>
  <si>
    <t>LP001428</t>
  </si>
  <si>
    <t>LP001445</t>
  </si>
  <si>
    <t>LP001446</t>
  </si>
  <si>
    <t>LP001450</t>
  </si>
  <si>
    <t>LP001452</t>
  </si>
  <si>
    <t>LP001455</t>
  </si>
  <si>
    <t>LP001466</t>
  </si>
  <si>
    <t>LP001471</t>
  </si>
  <si>
    <t>LP001472</t>
  </si>
  <si>
    <t>LP001475</t>
  </si>
  <si>
    <t>LP001483</t>
  </si>
  <si>
    <t>LP001486</t>
  </si>
  <si>
    <t>LP001490</t>
  </si>
  <si>
    <t>LP001496</t>
  </si>
  <si>
    <t>LP001499</t>
  </si>
  <si>
    <t>LP001500</t>
  </si>
  <si>
    <t>LP001501</t>
  </si>
  <si>
    <t>LP001517</t>
  </si>
  <si>
    <t>LP001527</t>
  </si>
  <si>
    <t>LP001534</t>
  </si>
  <si>
    <t>LP001542</t>
  </si>
  <si>
    <t>LP001547</t>
  </si>
  <si>
    <t>LP001548</t>
  </si>
  <si>
    <t>LP001558</t>
  </si>
  <si>
    <t>LP001561</t>
  </si>
  <si>
    <t>LP001563</t>
  </si>
  <si>
    <t>LP001567</t>
  </si>
  <si>
    <t>LP001568</t>
  </si>
  <si>
    <t>LP001573</t>
  </si>
  <si>
    <t>LP001584</t>
  </si>
  <si>
    <t>LP001587</t>
  </si>
  <si>
    <t>LP001589</t>
  </si>
  <si>
    <t>LP001591</t>
  </si>
  <si>
    <t>LP001599</t>
  </si>
  <si>
    <t>LP001601</t>
  </si>
  <si>
    <t>LP001607</t>
  </si>
  <si>
    <t>LP001611</t>
  </si>
  <si>
    <t>LP001613</t>
  </si>
  <si>
    <t>LP001622</t>
  </si>
  <si>
    <t>LP001627</t>
  </si>
  <si>
    <t>LP001650</t>
  </si>
  <si>
    <t>LP001651</t>
  </si>
  <si>
    <t>LP001652</t>
  </si>
  <si>
    <t>LP001655</t>
  </si>
  <si>
    <t>LP001660</t>
  </si>
  <si>
    <t>LP001662</t>
  </si>
  <si>
    <t>LP001663</t>
  </si>
  <si>
    <t>LP001667</t>
  </si>
  <si>
    <t>LP001695</t>
  </si>
  <si>
    <t>LP001703</t>
  </si>
  <si>
    <t>LP001718</t>
  </si>
  <si>
    <t>LP001728</t>
  </si>
  <si>
    <t>LP001735</t>
  </si>
  <si>
    <t>LP001737</t>
  </si>
  <si>
    <t>LP001739</t>
  </si>
  <si>
    <t>LP001742</t>
  </si>
  <si>
    <t>LP001757</t>
  </si>
  <si>
    <t>LP001769</t>
  </si>
  <si>
    <t>LP001771</t>
  </si>
  <si>
    <t>LP001785</t>
  </si>
  <si>
    <t>LP001787</t>
  </si>
  <si>
    <t>LP001789</t>
  </si>
  <si>
    <t>LP001791</t>
  </si>
  <si>
    <t>LP001794</t>
  </si>
  <si>
    <t>LP001797</t>
  </si>
  <si>
    <t>LP001815</t>
  </si>
  <si>
    <t>LP001817</t>
  </si>
  <si>
    <t>LP001818</t>
  </si>
  <si>
    <t>LP001822</t>
  </si>
  <si>
    <t>LP001827</t>
  </si>
  <si>
    <t>LP001831</t>
  </si>
  <si>
    <t>LP001842</t>
  </si>
  <si>
    <t>LP001853</t>
  </si>
  <si>
    <t>LP001855</t>
  </si>
  <si>
    <t>LP001857</t>
  </si>
  <si>
    <t>LP001862</t>
  </si>
  <si>
    <t>LP001867</t>
  </si>
  <si>
    <t>LP001878</t>
  </si>
  <si>
    <t>LP001881</t>
  </si>
  <si>
    <t>LP001886</t>
  </si>
  <si>
    <t>LP001906</t>
  </si>
  <si>
    <t>LP001909</t>
  </si>
  <si>
    <t>LP001911</t>
  </si>
  <si>
    <t>LP001921</t>
  </si>
  <si>
    <t>LP001923</t>
  </si>
  <si>
    <t>LP001933</t>
  </si>
  <si>
    <t>LP001943</t>
  </si>
  <si>
    <t>LP001950</t>
  </si>
  <si>
    <t>LP001959</t>
  </si>
  <si>
    <t>LP001961</t>
  </si>
  <si>
    <t>LP001973</t>
  </si>
  <si>
    <t>LP001975</t>
  </si>
  <si>
    <t>LP001979</t>
  </si>
  <si>
    <t>LP001995</t>
  </si>
  <si>
    <t>LP001999</t>
  </si>
  <si>
    <t>LP002007</t>
  </si>
  <si>
    <t>LP002009</t>
  </si>
  <si>
    <t>LP002016</t>
  </si>
  <si>
    <t>LP002017</t>
  </si>
  <si>
    <t>LP002018</t>
  </si>
  <si>
    <t>LP002027</t>
  </si>
  <si>
    <t>LP002028</t>
  </si>
  <si>
    <t>LP002042</t>
  </si>
  <si>
    <t>LP002045</t>
  </si>
  <si>
    <t>LP002046</t>
  </si>
  <si>
    <t>LP002047</t>
  </si>
  <si>
    <t>LP002056</t>
  </si>
  <si>
    <t>LP002057</t>
  </si>
  <si>
    <t>LP002059</t>
  </si>
  <si>
    <t>LP002062</t>
  </si>
  <si>
    <t>LP002064</t>
  </si>
  <si>
    <t>LP002069</t>
  </si>
  <si>
    <t>LP002070</t>
  </si>
  <si>
    <t>LP002077</t>
  </si>
  <si>
    <t>LP002083</t>
  </si>
  <si>
    <t>LP002090</t>
  </si>
  <si>
    <t>LP002096</t>
  </si>
  <si>
    <t>LP002099</t>
  </si>
  <si>
    <t>LP002102</t>
  </si>
  <si>
    <t>LP002105</t>
  </si>
  <si>
    <t>LP002107</t>
  </si>
  <si>
    <t>LP002111</t>
  </si>
  <si>
    <t>LP002117</t>
  </si>
  <si>
    <t>LP002118</t>
  </si>
  <si>
    <t>LP002123</t>
  </si>
  <si>
    <t>LP002125</t>
  </si>
  <si>
    <t>LP002148</t>
  </si>
  <si>
    <t>LP002152</t>
  </si>
  <si>
    <t>LP002165</t>
  </si>
  <si>
    <t>LP002167</t>
  </si>
  <si>
    <t>LP002168</t>
  </si>
  <si>
    <t>LP002172</t>
  </si>
  <si>
    <t>LP002176</t>
  </si>
  <si>
    <t>LP002183</t>
  </si>
  <si>
    <t>LP002184</t>
  </si>
  <si>
    <t>LP002186</t>
  </si>
  <si>
    <t>LP002192</t>
  </si>
  <si>
    <t>LP002195</t>
  </si>
  <si>
    <t>LP002208</t>
  </si>
  <si>
    <t>LP002212</t>
  </si>
  <si>
    <t>LP002240</t>
  </si>
  <si>
    <t>LP002245</t>
  </si>
  <si>
    <t>LP002253</t>
  </si>
  <si>
    <t>LP002256</t>
  </si>
  <si>
    <t>LP002257</t>
  </si>
  <si>
    <t>LP002264</t>
  </si>
  <si>
    <t>LP002270</t>
  </si>
  <si>
    <t>LP002279</t>
  </si>
  <si>
    <t>LP002286</t>
  </si>
  <si>
    <t>LP002294</t>
  </si>
  <si>
    <t>LP002298</t>
  </si>
  <si>
    <t>LP002306</t>
  </si>
  <si>
    <t>LP002310</t>
  </si>
  <si>
    <t>LP002311</t>
  </si>
  <si>
    <t>LP002316</t>
  </si>
  <si>
    <t>LP002321</t>
  </si>
  <si>
    <t>LP002325</t>
  </si>
  <si>
    <t>LP002326</t>
  </si>
  <si>
    <t>LP002329</t>
  </si>
  <si>
    <t>LP002333</t>
  </si>
  <si>
    <t>LP002339</t>
  </si>
  <si>
    <t>LP002344</t>
  </si>
  <si>
    <t>LP002346</t>
  </si>
  <si>
    <t>LP002354</t>
  </si>
  <si>
    <t>LP002355</t>
  </si>
  <si>
    <t>LP002358</t>
  </si>
  <si>
    <t>LP002360</t>
  </si>
  <si>
    <t>LP002375</t>
  </si>
  <si>
    <t>LP002376</t>
  </si>
  <si>
    <t>LP002383</t>
  </si>
  <si>
    <t>LP002385</t>
  </si>
  <si>
    <t>LP002389</t>
  </si>
  <si>
    <t>LP002394</t>
  </si>
  <si>
    <t>LP002397</t>
  </si>
  <si>
    <t>LP002399</t>
  </si>
  <si>
    <t>LP002400</t>
  </si>
  <si>
    <t>LP002402</t>
  </si>
  <si>
    <t>LP002412</t>
  </si>
  <si>
    <t>LP002415</t>
  </si>
  <si>
    <t>LP002417</t>
  </si>
  <si>
    <t>LP002420</t>
  </si>
  <si>
    <t>LP002425</t>
  </si>
  <si>
    <t>LP002433</t>
  </si>
  <si>
    <t>LP002440</t>
  </si>
  <si>
    <t>LP002441</t>
  </si>
  <si>
    <t>LP002442</t>
  </si>
  <si>
    <t>LP002445</t>
  </si>
  <si>
    <t>LP002450</t>
  </si>
  <si>
    <t>LP002471</t>
  </si>
  <si>
    <t>LP002476</t>
  </si>
  <si>
    <t>LP002482</t>
  </si>
  <si>
    <t>LP002485</t>
  </si>
  <si>
    <t>LP002495</t>
  </si>
  <si>
    <t>LP002496</t>
  </si>
  <si>
    <t>LP002523</t>
  </si>
  <si>
    <t>LP002542</t>
  </si>
  <si>
    <t>LP002550</t>
  </si>
  <si>
    <t>LP002551</t>
  </si>
  <si>
    <t>LP002553</t>
  </si>
  <si>
    <t>LP002554</t>
  </si>
  <si>
    <t>LP002561</t>
  </si>
  <si>
    <t>LP002566</t>
  </si>
  <si>
    <t>LP002568</t>
  </si>
  <si>
    <t>LP002570</t>
  </si>
  <si>
    <t>LP002572</t>
  </si>
  <si>
    <t>LP002581</t>
  </si>
  <si>
    <t>LP002584</t>
  </si>
  <si>
    <t>LP002592</t>
  </si>
  <si>
    <t>LP002593</t>
  </si>
  <si>
    <t>LP002599</t>
  </si>
  <si>
    <t>LP002604</t>
  </si>
  <si>
    <t>LP002605</t>
  </si>
  <si>
    <t>LP002609</t>
  </si>
  <si>
    <t>LP002610</t>
  </si>
  <si>
    <t>LP002612</t>
  </si>
  <si>
    <t>LP002614</t>
  </si>
  <si>
    <t>LP002630</t>
  </si>
  <si>
    <t>LP002635</t>
  </si>
  <si>
    <t>LP002639</t>
  </si>
  <si>
    <t>LP002644</t>
  </si>
  <si>
    <t>LP002651</t>
  </si>
  <si>
    <t>LP002654</t>
  </si>
  <si>
    <t>LP002657</t>
  </si>
  <si>
    <t>LP002711</t>
  </si>
  <si>
    <t>LP002712</t>
  </si>
  <si>
    <t>LP002721</t>
  </si>
  <si>
    <t>LP002735</t>
  </si>
  <si>
    <t>LP002744</t>
  </si>
  <si>
    <t>LP002745</t>
  </si>
  <si>
    <t>LP002746</t>
  </si>
  <si>
    <t>LP002747</t>
  </si>
  <si>
    <t>LP002754</t>
  </si>
  <si>
    <t>LP002759</t>
  </si>
  <si>
    <t>LP002760</t>
  </si>
  <si>
    <t>LP002766</t>
  </si>
  <si>
    <t>LP002769</t>
  </si>
  <si>
    <t>LP002774</t>
  </si>
  <si>
    <t>LP002775</t>
  </si>
  <si>
    <t>LP002781</t>
  </si>
  <si>
    <t>LP002782</t>
  </si>
  <si>
    <t>LP002786</t>
  </si>
  <si>
    <t>LP002790</t>
  </si>
  <si>
    <t>LP002791</t>
  </si>
  <si>
    <t>LP002793</t>
  </si>
  <si>
    <t>LP002802</t>
  </si>
  <si>
    <t>LP002803</t>
  </si>
  <si>
    <t>LP002805</t>
  </si>
  <si>
    <t>LP002806</t>
  </si>
  <si>
    <t>LP002816</t>
  </si>
  <si>
    <t>LP002823</t>
  </si>
  <si>
    <t>LP002825</t>
  </si>
  <si>
    <t>LP002826</t>
  </si>
  <si>
    <t>LP002843</t>
  </si>
  <si>
    <t>LP002849</t>
  </si>
  <si>
    <t>LP002850</t>
  </si>
  <si>
    <t>LP002853</t>
  </si>
  <si>
    <t>LP002856</t>
  </si>
  <si>
    <t>Loan_to_Income ratio</t>
  </si>
  <si>
    <t>EMI_estimate</t>
  </si>
  <si>
    <t>Mean</t>
  </si>
  <si>
    <t>Standard Error</t>
  </si>
  <si>
    <t>Median</t>
  </si>
  <si>
    <t>Mode</t>
  </si>
  <si>
    <t>Standard Deviation</t>
  </si>
  <si>
    <t>Sample Variance</t>
  </si>
  <si>
    <t>Kurtosis</t>
  </si>
  <si>
    <t>Skewness</t>
  </si>
  <si>
    <t>Range</t>
  </si>
  <si>
    <t>Minimum</t>
  </si>
  <si>
    <t>Maximum</t>
  </si>
  <si>
    <t>Sum</t>
  </si>
  <si>
    <t>Count</t>
  </si>
  <si>
    <t>Applicant Income</t>
  </si>
  <si>
    <t xml:space="preserve">Co-Applicant Income </t>
  </si>
  <si>
    <t>Loan_Amount</t>
  </si>
  <si>
    <t>Loan_Amount_term</t>
  </si>
  <si>
    <t xml:space="preserve">Applicant_Income </t>
  </si>
  <si>
    <t xml:space="preserve">Co_Applicant_Income </t>
  </si>
  <si>
    <t>Total Income</t>
  </si>
  <si>
    <t xml:space="preserve">Loan_Amount </t>
  </si>
  <si>
    <t xml:space="preserve">Loan_Amount_term </t>
  </si>
  <si>
    <t xml:space="preserve">Appliacant_Income </t>
  </si>
  <si>
    <t>Total_Income</t>
  </si>
  <si>
    <t xml:space="preserve">Loan_Amount_Term </t>
  </si>
  <si>
    <t xml:space="preserve"> </t>
  </si>
  <si>
    <t>Correlation Heatmap</t>
  </si>
  <si>
    <t>Regression Statistics</t>
  </si>
  <si>
    <t>Multiple R</t>
  </si>
  <si>
    <t>R Square</t>
  </si>
  <si>
    <t>Adjusted R Square</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</si>
  <si>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</si>
  <si>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</si>
  <si>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</si>
  <si>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</si>
  <si>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</si>
  <si>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</si>
  <si>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</si>
  <si>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</si>
  <si>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</si>
  <si>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</si>
  <si>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</si>
  <si>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</si>
  <si>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</si>
  <si>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</si>
  <si>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</si>
  <si>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</si>
  <si>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</si>
  <si>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</si>
  <si>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</si>
  <si>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Observation</t>
  </si>
  <si>
    <t>Predicted 110</t>
  </si>
  <si>
    <t>Residuals</t>
  </si>
  <si>
    <t>Loan Amount ( Y) &amp; Loan_Amount_Term ( X)</t>
  </si>
  <si>
    <t>PROBABILITY OUTPUT</t>
  </si>
  <si>
    <t>Percentile</t>
  </si>
  <si>
    <t>Loan Amount ( Y) &amp; Total_Income (X)</t>
  </si>
  <si>
    <t>Key Insights</t>
  </si>
  <si>
    <t>1. Applicant income is highly right-skewed</t>
  </si>
  <si>
    <t>2. Total income provides a broader measure of repayment capacity</t>
  </si>
  <si>
    <t>Total Income=ApplicantIncome+CoapplicantIncome</t>
  </si>
  <si>
    <t>3. Applicant Income and Total Income are highly correlated</t>
  </si>
  <si>
    <t>4. Loan Amount Term has very weak explanatory power individually</t>
  </si>
  <si>
    <t>5. Total Income has a weak relationship with Loan Amount individually</t>
  </si>
  <si>
    <t>The simple regression of Loan Amount on Total Income produced:</t>
  </si>
  <si>
    <t>R² ≈ 0.00668</t>
  </si>
  <si>
    <t>R² ≈ 0.67%</t>
  </si>
  <si>
    <t>p ≈ 0.134</t>
  </si>
  <si>
    <t>6. Loan Amount contains substantial variation</t>
  </si>
  <si>
    <t>Total_Income combines applicant and co-applicant income:</t>
  </si>
  <si>
    <t>Recommendations</t>
  </si>
  <si>
    <t>1. Develop a multiple regression model</t>
  </si>
  <si>
    <t>The simple regression models have limited explanatory power.</t>
  </si>
  <si>
    <t>Therefore, the next step should be:</t>
  </si>
  <si>
    <t>LoanAmount=β0​+β1​TotalIncome+β2​LoanTerm+β3​Education+β4​Married+β5​SelfEmployed+β6​PropertyArea+ϵ</t>
  </si>
  <si>
    <t>2. Address multicollinearity</t>
  </si>
  <si>
    <t>Because:</t>
  </si>
  <si>
    <t>Corr(ApplicantIncome,TotalIncome)≈0.906</t>
  </si>
  <si>
    <t>avoid putting highly redundant income variables into the same model.</t>
  </si>
  <si>
    <t>3. Avoid target leakage</t>
  </si>
  <si>
    <t>Loan_to_Income_Ratio</t>
  </si>
  <si>
    <t>These variables contain information derived from the target and could artificially improve the model.</t>
  </si>
  <si>
    <t>4. Examine regression assumptions</t>
  </si>
  <si>
    <t>Before accepting the final model, check:</t>
  </si>
  <si>
    <t>Linearity</t>
  </si>
  <si>
    <t>Multicollinearity</t>
  </si>
  <si>
    <t>Homoscedasticity</t>
  </si>
  <si>
    <t>Residual distribution</t>
  </si>
  <si>
    <t>Influential observations/outliers</t>
  </si>
  <si>
    <t>Use residual plots and an Actual vs Predicted plot.</t>
  </si>
  <si>
    <t>5. Evaluate predictive performance</t>
  </si>
  <si>
    <t>For the final model, calculate:</t>
  </si>
  <si>
    <t>R²</t>
  </si>
  <si>
    <t>Adjusted R²</t>
  </si>
  <si>
    <t>MAE</t>
  </si>
  <si>
    <t>MSE</t>
  </si>
  <si>
    <t>RMSE</t>
  </si>
  <si>
    <t>These will provide a much better assessment of model performance than R² from the two simple regressions alone.</t>
  </si>
  <si>
    <t>6. Use a genuine test dataset</t>
  </si>
  <si>
    <t>Avoid using identical observations in both datasets for model evaluation.</t>
  </si>
  <si>
    <r>
      <t xml:space="preserve">Applicant Income has a mean of approximately </t>
    </r>
    <r>
      <rPr>
        <b/>
        <sz val="22"/>
        <rFont val="Times New Roman"/>
        <family val="1"/>
      </rPr>
      <t>4,823</t>
    </r>
    <r>
      <rPr>
        <sz val="22"/>
        <rFont val="Times New Roman"/>
        <family val="1"/>
      </rPr>
      <t xml:space="preserve"> compared with a median of approximately </t>
    </r>
    <r>
      <rPr>
        <b/>
        <sz val="22"/>
        <rFont val="Times New Roman"/>
        <family val="1"/>
      </rPr>
      <t>3,770</t>
    </r>
    <r>
      <rPr>
        <sz val="22"/>
        <rFont val="Times New Roman"/>
        <family val="1"/>
      </rPr>
      <t>, and the distribution has substantial positive skewness.</t>
    </r>
  </si>
  <si>
    <r>
      <t>Insight:</t>
    </r>
    <r>
      <rPr>
        <sz val="22"/>
        <rFont val="Times New Roman"/>
        <family val="1"/>
      </rPr>
      <t xml:space="preserve"> Most applicants fall within relatively moderate income levels, while a small number of applicants have exceptionally high incomes.</t>
    </r>
  </si>
  <si>
    <r>
      <t>Recommendation:</t>
    </r>
    <r>
      <rPr>
        <sz val="22"/>
        <rFont val="Times New Roman"/>
        <family val="1"/>
      </rPr>
      <t xml:space="preserve"> Consider investigating extreme income observations before the final regression. If they are genuine observations, they should generally be retained but their influence should be assessed.</t>
    </r>
  </si>
  <si>
    <r>
      <t xml:space="preserve">This will allow you to evaluate the </t>
    </r>
    <r>
      <rPr>
        <b/>
        <sz val="22"/>
        <rFont val="Arial"/>
        <family val="2"/>
      </rPr>
      <t>combined effect</t>
    </r>
    <r>
      <rPr>
        <sz val="22"/>
        <rFont val="Arial"/>
        <family val="2"/>
      </rPr>
      <t xml:space="preserve"> of several explanatory variables.</t>
    </r>
  </si>
  <si>
    <r>
      <t>Insight:</t>
    </r>
    <r>
      <rPr>
        <sz val="22"/>
        <rFont val="Times New Roman"/>
        <family val="1"/>
      </rPr>
      <t xml:space="preserve"> Total income provides a more comprehensive representation of household income than Applicant Income alone.</t>
    </r>
  </si>
  <si>
    <r>
      <t>Recommendation:</t>
    </r>
    <r>
      <rPr>
        <sz val="22"/>
        <rFont val="Times New Roman"/>
        <family val="1"/>
      </rPr>
      <t xml:space="preserve"> Use </t>
    </r>
    <r>
      <rPr>
        <b/>
        <sz val="22"/>
        <rFont val="Times New Roman"/>
        <family val="1"/>
      </rPr>
      <t>Total_Income rather than simultaneously including ApplicantIncome and CoapplicantIncome</t>
    </r>
    <r>
      <rPr>
        <sz val="22"/>
        <rFont val="Times New Roman"/>
        <family val="1"/>
      </rPr>
      <t xml:space="preserve"> in the final regression to reduce redundancy and potential multicollinearity.</t>
    </r>
  </si>
  <si>
    <r>
      <t>Recommended:</t>
    </r>
    <r>
      <rPr>
        <sz val="22"/>
        <rFont val="Arial"/>
        <family val="2"/>
      </rPr>
      <t xml:space="preserve"> use </t>
    </r>
    <r>
      <rPr>
        <sz val="22"/>
        <rFont val="Arial Unicode MS"/>
      </rPr>
      <t>Total_Income</t>
    </r>
    <r>
      <rPr>
        <sz val="22"/>
        <rFont val="Arial"/>
        <family val="2"/>
      </rPr>
      <t xml:space="preserve"> as the primary income predictor.</t>
    </r>
  </si>
  <si>
    <r>
      <t xml:space="preserve">Your analysis indicates a correlation of approximately </t>
    </r>
    <r>
      <rPr>
        <b/>
        <sz val="22"/>
        <rFont val="Times New Roman"/>
        <family val="1"/>
      </rPr>
      <t>0.906</t>
    </r>
    <r>
      <rPr>
        <sz val="22"/>
        <rFont val="Times New Roman"/>
        <family val="1"/>
      </rPr>
      <t xml:space="preserve"> between Applicant Income and Total Income.</t>
    </r>
  </si>
  <si>
    <r>
      <t>Insight:</t>
    </r>
    <r>
      <rPr>
        <sz val="22"/>
        <rFont val="Times New Roman"/>
        <family val="1"/>
      </rPr>
      <t xml:space="preserve"> These variables contain substantial overlapping information.</t>
    </r>
  </si>
  <si>
    <r>
      <t xml:space="preserve">Do </t>
    </r>
    <r>
      <rPr>
        <b/>
        <sz val="22"/>
        <rFont val="Arial"/>
        <family val="2"/>
      </rPr>
      <t>not</t>
    </r>
    <r>
      <rPr>
        <sz val="22"/>
        <rFont val="Arial"/>
        <family val="2"/>
      </rPr>
      <t xml:space="preserve"> use these as predictors when the target is </t>
    </r>
    <r>
      <rPr>
        <sz val="22"/>
        <rFont val="Arial Unicode MS"/>
      </rPr>
      <t>LoanAmount</t>
    </r>
    <r>
      <rPr>
        <sz val="22"/>
        <rFont val="Arial"/>
        <family val="2"/>
      </rPr>
      <t>:</t>
    </r>
  </si>
  <si>
    <r>
      <t>Recommendation:</t>
    </r>
    <r>
      <rPr>
        <sz val="22"/>
        <rFont val="Times New Roman"/>
        <family val="1"/>
      </rPr>
      <t xml:space="preserve"> Avoid including all three of ApplicantIncome, CoapplicantIncome, and Total_Income in the same final regression model. Using Total_Income is a reasonable simplified specification.</t>
    </r>
  </si>
  <si>
    <r>
      <t>EMI_Estimate</t>
    </r>
    <r>
      <rPr>
        <sz val="22"/>
        <rFont val="Arial"/>
        <family val="2"/>
      </rPr>
      <t xml:space="preserve"> if calculated using LoanAmount</t>
    </r>
  </si>
  <si>
    <r>
      <t xml:space="preserve">Your simple regression of Loan Amount on Loan Amount Term produced an </t>
    </r>
    <r>
      <rPr>
        <b/>
        <sz val="22"/>
        <rFont val="Times New Roman"/>
        <family val="1"/>
      </rPr>
      <t>R² of approximately 0.000002</t>
    </r>
    <r>
      <rPr>
        <sz val="22"/>
        <rFont val="Times New Roman"/>
        <family val="1"/>
      </rPr>
      <t xml:space="preserve"> and a very high p-value.</t>
    </r>
  </si>
  <si>
    <r>
      <t>Insight:</t>
    </r>
    <r>
      <rPr>
        <sz val="22"/>
        <rFont val="Times New Roman"/>
        <family val="1"/>
      </rPr>
      <t xml:space="preserve"> Loan repayment term alone does not explain meaningful variation in the requested loan amount in this sample.</t>
    </r>
  </si>
  <si>
    <r>
      <t>Recommendation:</t>
    </r>
    <r>
      <rPr>
        <sz val="22"/>
        <rFont val="Times New Roman"/>
        <family val="1"/>
      </rPr>
      <t xml:space="preserve"> Do not rely on Loan Amount Term as a standalone predictor. Its usefulness should instead be assessed within the multiple regression model alongside other applicant characteristics.</t>
    </r>
  </si>
  <si>
    <r>
      <t>Insight:</t>
    </r>
    <r>
      <rPr>
        <sz val="22"/>
        <rFont val="Times New Roman"/>
        <family val="1"/>
      </rPr>
      <t xml:space="preserve"> Total Income alone explains only a very small proportion of the variation in Loan Amount, and the relationship is not statistically significant at the 5% level.</t>
    </r>
  </si>
  <si>
    <r>
      <t>Recommendation:</t>
    </r>
    <r>
      <rPr>
        <sz val="22"/>
        <rFont val="Times New Roman"/>
        <family val="1"/>
      </rPr>
      <t xml:space="preserve"> Avoid making loan-amount predictions based solely on income. Loan amount decisions are likely influenced by several applicant and loan characteristics simultaneously.</t>
    </r>
  </si>
  <si>
    <r>
      <t xml:space="preserve">Your Loan Amount has a mean of approximately </t>
    </r>
    <r>
      <rPr>
        <b/>
        <sz val="22"/>
        <rFont val="Times New Roman"/>
        <family val="1"/>
      </rPr>
      <t>136.6</t>
    </r>
    <r>
      <rPr>
        <sz val="22"/>
        <rFont val="Times New Roman"/>
        <family val="1"/>
      </rPr>
      <t xml:space="preserve"> and a median of </t>
    </r>
    <r>
      <rPr>
        <b/>
        <sz val="22"/>
        <rFont val="Times New Roman"/>
        <family val="1"/>
      </rPr>
      <t>125</t>
    </r>
    <r>
      <rPr>
        <sz val="22"/>
        <rFont val="Times New Roman"/>
        <family val="1"/>
      </rPr>
      <t>, indicating that the distribution is not perfectly symmetric.</t>
    </r>
  </si>
  <si>
    <r>
      <t>Insight:</t>
    </r>
    <r>
      <rPr>
        <sz val="22"/>
        <rFont val="Times New Roman"/>
        <family val="1"/>
      </rPr>
      <t xml:space="preserve"> Applicants request substantially different loan amounts, and extreme observations may influence regression estimates.</t>
    </r>
  </si>
  <si>
    <r>
      <t>Recommendation:</t>
    </r>
    <r>
      <rPr>
        <sz val="22"/>
        <rFont val="Times New Roman"/>
        <family val="1"/>
      </rPr>
      <t xml:space="preserve"> Examine Loan Amount outliers and residuals before finalizing the model. Genuine extreme values should not automatically be removed.</t>
    </r>
  </si>
  <si>
    <r>
      <t xml:space="preserve">If you intend to demonstrate predictive modelling, the model should be trained on the </t>
    </r>
    <r>
      <rPr>
        <b/>
        <sz val="22"/>
        <rFont val="Arial"/>
        <family val="2"/>
      </rPr>
      <t>training dataset</t>
    </r>
    <r>
      <rPr>
        <sz val="22"/>
        <rFont val="Arial"/>
        <family val="2"/>
      </rPr>
      <t xml:space="preserve"> and evaluated on </t>
    </r>
    <r>
      <rPr>
        <b/>
        <sz val="22"/>
        <rFont val="Arial"/>
        <family val="2"/>
      </rPr>
      <t>unseen test observations</t>
    </r>
    <r>
      <rPr>
        <sz val="22"/>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</si>
</sst>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Red]&quot;($&quot;#,##0\)"/>
    <numFmt numFmtId="165" formatCode="\$#,##0.00_);&quot;($&quot;#,##0.00\)"/>
  </numFmts>
  <fonts count="13">
    <font>
      <sz val="10"/>
      <name val="Arial"/>
      <family val="2"/>
    </font>
    <font>
      <b/>
      <sz val="10"/>
      <color rgb="FF000000"/>
      <name val="Arial"/>
      <family val="2"/>
    </font>
    <font>
      <sz val="10"/>
      <color rgb="FFC0C0C0"/>
      <name val="Arial"/>
      <family val="2"/>
    </font>
    <font>
      <sz val="10"/>
      <name val="Arial"/>
      <family val="2"/>
    </font>
    <font>
      <i/>
      <sz val="10"/>
      <name val="Arial"/>
      <family val="2"/>
    </font>
    <font>
      <sz val="14"/>
      <color theme="1"/>
      <name val="Arial"/>
      <family val="2"/>
    </font>
    <font>
      <b/>
      <sz val="10"/>
      <name val="Arial"/>
      <family val="2"/>
    </font>
    <font>
      <sz val="12"/>
      <name val="Arial"/>
      <family val="2"/>
    </font>
    <font>
      <b/>
      <sz val="22"/>
      <name val="Times New Roman"/>
      <family val="1"/>
    </font>
    <font>
      <sz val="22"/>
      <name val="Arial"/>
      <family val="2"/>
    </font>
    <font>
      <b/>
      <sz val="22"/>
      <name val="Arial"/>
      <family val="2"/>
    </font>
    <font>
      <sz val="22"/>
      <name val="Times New Roman"/>
      <family val="1"/>
    </font>
    <font>
      <sz val="22"/>
      <name val="Arial Unicode MS"/>
    </font>
  </fonts>
  <fills count="4">
    <fill>
      <patternFill patternType="none"/>
    </fill>
    <fill>
      <patternFill patternType="gray125"/>
    </fill>
    <fill>
      <patternFill patternType="solid">
        <fgColor rgb="FF004A4A"/>
        <bgColor rgb="FF003300"/>
      </patternFill>
    </fill>
    <fill>
      <patternFill patternType="solid">
        <fgColor theme="0" tint="-4.9989318521683403E-2"/>
        <bgColor indexed="64"/>
      </patternFill>
    </fill>
  </fills>
  <borders count="12">
    <border>
      <left/>
      <right/>
      <top/>
      <bottom/>
      <diagonal/>
    </border>
    <border>
      <left style="hair">
        <color auto="1"/>
      </left>
      <right style="hair">
        <color auto="1"/>
      </right>
      <top style="hair">
        <color auto="1"/>
      </top>
      <bottom style="hair">
        <color auto="1"/>
      </bottom>
      <diagonal/>
    </border>
    <border>
      <left style="hair">
        <color auto="1"/>
      </left>
      <right/>
      <top style="hair">
        <color auto="1"/>
      </top>
      <bottom/>
      <diagonal/>
    </border>
    <border>
      <left style="hair">
        <color auto="1"/>
      </left>
      <right/>
      <top/>
      <bottom/>
      <diagonal/>
    </border>
    <border>
      <left style="hair">
        <color auto="1"/>
      </left>
      <right/>
      <top/>
      <bottom style="hair">
        <color auto="1"/>
      </bottom>
      <diagonal/>
    </border>
    <border>
      <left/>
      <right/>
      <top style="hair">
        <color auto="1"/>
      </top>
      <bottom/>
      <diagonal/>
    </border>
    <border>
      <left/>
      <right/>
      <top/>
      <bottom style="hair">
        <color auto="1"/>
      </bottom>
      <diagonal/>
    </border>
    <border>
      <left/>
      <right style="hair">
        <color auto="1"/>
      </right>
      <top style="hair">
        <color auto="1"/>
      </top>
      <bottom/>
      <diagonal/>
    </border>
    <border>
      <left/>
      <right style="hair">
        <color auto="1"/>
      </right>
      <top/>
      <bottom/>
      <diagonal/>
    </border>
    <border>
      <left/>
      <right style="hair">
        <color auto="1"/>
      </right>
      <top/>
      <bottom style="hair">
        <color auto="1"/>
      </bottom>
      <diagonal/>
    </border>
    <border>
      <left/>
      <right/>
      <top/>
      <bottom style="medium">
        <color indexed="64"/>
      </bottom>
      <diagonal/>
    </border>
    <border>
      <left/>
      <right/>
      <top style="medium">
        <color indexed="64"/>
      </top>
      <bottom style="thin">
        <color indexed="64"/>
      </bottom>
      <diagonal/>
    </border>
  </borders>
  <cellStyleXfs count="14">
    <xf numFmtId="0" fontId="0" fillId="0" borderId="0">
      <alignment vertical="center"/>
    </xf>
    <xf numFmtId="164" fontId="1" fillId="0" borderId="1" applyProtection="0">
      <alignment vertical="center"/>
    </xf>
    <xf numFmtId="0" fontId="2" fillId="2" borderId="0" applyBorder="0" applyProtection="0">
      <alignment vertical="center"/>
    </xf>
    <xf numFmtId="0" fontId="3" fillId="0" borderId="2" applyProtection="0">
      <alignment horizontal="right" vertical="center" wrapText="1"/>
    </xf>
    <xf numFmtId="0" fontId="3" fillId="0" borderId="0" applyBorder="0" applyProtection="0">
      <alignment horizontal="right" vertical="center" wrapText="1"/>
    </xf>
    <xf numFmtId="0" fontId="3" fillId="0" borderId="3" applyProtection="0">
      <alignment horizontal="right" vertical="center" wrapText="1"/>
    </xf>
    <xf numFmtId="0" fontId="3" fillId="0" borderId="4" applyProtection="0">
      <alignment horizontal="right" vertical="center" wrapText="1"/>
    </xf>
    <xf numFmtId="0" fontId="3" fillId="0" borderId="5" applyProtection="0">
      <alignment horizontal="right" vertical="center" wrapText="1"/>
    </xf>
    <xf numFmtId="0" fontId="3" fillId="0" borderId="0" applyBorder="0" applyProtection="0">
      <alignment horizontal="right" wrapText="1"/>
    </xf>
    <xf numFmtId="165" fontId="3" fillId="0" borderId="1">
      <alignment vertical="center"/>
      <protection locked="0"/>
    </xf>
    <xf numFmtId="0" fontId="3" fillId="0" borderId="6" applyProtection="0">
      <alignment horizontal="right" vertical="center" wrapText="1"/>
    </xf>
    <xf numFmtId="0" fontId="3" fillId="0" borderId="7" applyProtection="0">
      <alignment horizontal="right" vertical="center" wrapText="1"/>
    </xf>
    <xf numFmtId="0" fontId="3" fillId="0" borderId="8" applyProtection="0">
      <alignment horizontal="right" vertical="center" wrapText="1"/>
    </xf>
    <xf numFmtId="0" fontId="3" fillId="0" borderId="9" applyProtection="0">
      <alignment horizontal="right" vertical="center" wrapText="1"/>
    </xf>
  </cellStyleXfs>
  <cellXfs count="24">
    <xf numFmtId="0" fontId="0" fillId="0" borderId="0" xfId="0">
      <alignment vertical="center"/>
    </xf>
    <xf numFmtId="0" fontId="0" fillId="0" borderId="0" xfId="0" applyAlignment="1">
      <alignment horizontal="right"/>
    </xf>
    <xf numFmtId="0" fontId="0" fillId="0" borderId="0" xfId="0" applyAlignment="1">
      <alignment horizontal="center"/>
    </xf>
    <xf numFmtId="0" fontId="0" fillId="0" borderId="10" xfId="0" applyBorder="1">
      <alignment vertical="center"/>
    </xf>
    <xf numFmtId="0" fontId="4" fillId="0" borderId="11" xfId="0" applyFont="1" applyBorder="1" applyAlignment="1">
      <alignment horizontal="center" vertical="center"/>
    </xf>
    <xf numFmtId="0" fontId="4" fillId="0" borderId="11" xfId="0" applyFont="1" applyBorder="1" applyAlignment="1">
      <alignment horizontal="centerContinuous" vertical="center"/>
    </xf>
    <xf numFmtId="0" fontId="0" fillId="3" borderId="0" xfId="0" applyFill="1">
      <alignment vertical="center"/>
    </xf>
    <xf numFmtId="0" fontId="6" fillId="3" borderId="0" xfId="0" applyFont="1" applyFill="1">
      <alignment vertical="center"/>
    </xf>
    <xf numFmtId="0" fontId="5" fillId="0" borderId="0" xfId="0" applyFont="1" applyAlignment="1">
      <alignment horizontal="center" vertical="center"/>
    </xf>
    <xf numFmtId="0" fontId="0" fillId="0" borderId="10" xfId="0" applyBorder="1" applyAlignment="1">
      <alignment horizontal="center" vertical="center"/>
    </xf>
    <xf numFmtId="0" fontId="0" fillId="0" borderId="0" xfId="0" applyAlignment="1">
      <alignment horizontal="center" vertical="center"/>
    </xf>
    <xf numFmtId="0" fontId="7" fillId="0" borderId="0" xfId="0" applyFont="1" applyAlignment="1">
      <alignment horizontal="center" vertical="center"/>
    </xf>
    <xf numFmtId="0" fontId="0" fillId="0" borderId="0" xfId="0" applyAlignment="1">
      <alignment horizontal="left" vertical="center"/>
    </xf>
    <xf numFmtId="0" fontId="8" fillId="0" borderId="0" xfId="0" applyFont="1" applyAlignment="1">
      <alignment horizontal="center" vertical="center"/>
    </xf>
    <xf numFmtId="0" fontId="9" fillId="0" borderId="0" xfId="0" applyFont="1">
      <alignment vertical="center"/>
    </xf>
    <xf numFmtId="0" fontId="10" fillId="0" borderId="0" xfId="0" applyFont="1" applyAlignment="1">
      <alignment horizontal="center" vertical="center"/>
    </xf>
    <xf numFmtId="0" fontId="11" fillId="0" borderId="0" xfId="0" applyFont="1">
      <alignment vertical="center"/>
    </xf>
    <xf numFmtId="0" fontId="8" fillId="0" borderId="0" xfId="0" applyFont="1">
      <alignment vertical="center"/>
    </xf>
    <xf numFmtId="0" fontId="10" fillId="0" borderId="0" xfId="0" applyFont="1">
      <alignment vertical="center"/>
    </xf>
    <xf numFmtId="0" fontId="9" fillId="0" borderId="0" xfId="0" applyFont="1" applyAlignment="1">
      <alignment horizontal="left" vertical="center" indent="1"/>
    </xf>
    <xf numFmtId="0" fontId="12" fillId="0" borderId="0" xfId="0" applyFont="1" applyAlignment="1">
      <alignment horizontal="left" vertical="center" indent="1"/>
    </xf>
    <xf numFmtId="0" fontId="11" fillId="0" borderId="0" xfId="0" applyFont="1" applyAlignment="1">
      <alignment horizontal="left" vertical="center" indent="1"/>
    </xf>
    <xf numFmtId="0" fontId="8" fillId="0" borderId="0" xfId="0" applyFont="1" applyAlignment="1">
      <alignment horizontal="left" vertical="center" indent="1"/>
    </xf>
    <xf numFmtId="0" fontId="10" fillId="0" borderId="0" xfId="0" applyFont="1" applyAlignment="1">
      <alignment horizontal="left" vertical="center" indent="1"/>
    </xf>
  </cellXfs>
  <cellStyles count="14">
    <cellStyle name="Background" xfId="2" xr:uid="{00000000-0005-0000-0000-000007000000}"/>
    <cellStyle name="Card" xfId="4" xr:uid="{00000000-0005-0000-0000-000009000000}"/>
    <cellStyle name="Card B" xfId="10" xr:uid="{00000000-0005-0000-0000-00000F000000}"/>
    <cellStyle name="Card BL" xfId="6" xr:uid="{00000000-0005-0000-0000-00000B000000}"/>
    <cellStyle name="Card BR" xfId="13" xr:uid="{00000000-0005-0000-0000-000012000000}"/>
    <cellStyle name="Card L" xfId="5" xr:uid="{00000000-0005-0000-0000-00000A000000}"/>
    <cellStyle name="Card R" xfId="12" xr:uid="{00000000-0005-0000-0000-000011000000}"/>
    <cellStyle name="Card T" xfId="7" xr:uid="{00000000-0005-0000-0000-00000C000000}"/>
    <cellStyle name="Card TL" xfId="3" xr:uid="{00000000-0005-0000-0000-000008000000}"/>
    <cellStyle name="Card TR" xfId="11" xr:uid="{00000000-0005-0000-0000-000010000000}"/>
    <cellStyle name="Column Header" xfId="8" xr:uid="{00000000-0005-0000-0000-00000D000000}"/>
    <cellStyle name="Input" xfId="9" xr:uid="{00000000-0005-0000-0000-00000E000000}"/>
    <cellStyle name="Normal" xfId="0" builtinId="0"/>
    <cellStyle name="Result2" xfId="1"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4A4A"/>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Residual</a:t>
            </a:r>
            <a:r>
              <a:rPr lang="en-US" baseline="0"/>
              <a:t> Output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RA_1_LoanTerm!$B$24</c:f>
              <c:strCache>
                <c:ptCount val="1"/>
                <c:pt idx="0">
                  <c:v>Predicted 110</c:v>
                </c:pt>
              </c:strCache>
            </c:strRef>
          </c:tx>
          <c:spPr>
            <a:ln w="19050" cap="rnd">
              <a:noFill/>
              <a:round/>
            </a:ln>
            <a:effectLst/>
          </c:spPr>
          <c:marker>
            <c:symbol val="circle"/>
            <c:size val="5"/>
            <c:spPr>
              <a:solidFill>
                <a:schemeClr val="accent1"/>
              </a:solidFill>
              <a:ln w="9525">
                <a:solidFill>
                  <a:schemeClr val="accent1"/>
                </a:solidFill>
              </a:ln>
              <a:effectLst/>
            </c:spPr>
          </c:marker>
          <c:xVal>
            <c:numRef>
              <c:f>RA_1_LoanTerm!$A$25:$A$361</c:f>
              <c:numCache>
                <c:formatCode>General</c:formatCode>
                <c:ptCount val="33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numCache>
            </c:numRef>
          </c:xVal>
          <c:yVal>
            <c:numRef>
              <c:f>RA_1_LoanTerm!$B$25:$B$361</c:f>
              <c:numCache>
                <c:formatCode>General</c:formatCode>
                <c:ptCount val="337"/>
                <c:pt idx="0">
                  <c:v>136.64317250890838</c:v>
                </c:pt>
                <c:pt idx="1">
                  <c:v>136.64317250890838</c:v>
                </c:pt>
                <c:pt idx="2">
                  <c:v>136.64317250890838</c:v>
                </c:pt>
                <c:pt idx="3">
                  <c:v>136.64317250890838</c:v>
                </c:pt>
                <c:pt idx="4">
                  <c:v>136.64317250890838</c:v>
                </c:pt>
                <c:pt idx="5">
                  <c:v>136.64317250890838</c:v>
                </c:pt>
                <c:pt idx="6">
                  <c:v>136.64317250890838</c:v>
                </c:pt>
                <c:pt idx="7">
                  <c:v>136.81144302891951</c:v>
                </c:pt>
                <c:pt idx="8">
                  <c:v>136.64317250890838</c:v>
                </c:pt>
                <c:pt idx="9">
                  <c:v>136.64317250890838</c:v>
                </c:pt>
                <c:pt idx="10">
                  <c:v>136.64317250890838</c:v>
                </c:pt>
                <c:pt idx="11">
                  <c:v>136.89557828892509</c:v>
                </c:pt>
                <c:pt idx="12">
                  <c:v>136.64317250890838</c:v>
                </c:pt>
                <c:pt idx="13">
                  <c:v>136.64317250890838</c:v>
                </c:pt>
                <c:pt idx="14">
                  <c:v>136.64317250890838</c:v>
                </c:pt>
                <c:pt idx="15">
                  <c:v>136.64317250890838</c:v>
                </c:pt>
                <c:pt idx="16">
                  <c:v>136.64317250890838</c:v>
                </c:pt>
                <c:pt idx="17">
                  <c:v>136.64317250890838</c:v>
                </c:pt>
                <c:pt idx="18">
                  <c:v>136.89557828892509</c:v>
                </c:pt>
                <c:pt idx="19">
                  <c:v>136.64317250890838</c:v>
                </c:pt>
                <c:pt idx="20">
                  <c:v>136.89557828892509</c:v>
                </c:pt>
                <c:pt idx="21">
                  <c:v>136.64317250890838</c:v>
                </c:pt>
                <c:pt idx="22">
                  <c:v>136.64317250890838</c:v>
                </c:pt>
                <c:pt idx="23">
                  <c:v>136.64317250890838</c:v>
                </c:pt>
                <c:pt idx="24">
                  <c:v>136.64317250890838</c:v>
                </c:pt>
                <c:pt idx="25">
                  <c:v>136.64317250890838</c:v>
                </c:pt>
                <c:pt idx="26">
                  <c:v>136.64317250890838</c:v>
                </c:pt>
                <c:pt idx="27">
                  <c:v>136.64317250890838</c:v>
                </c:pt>
                <c:pt idx="28">
                  <c:v>136.89557828892509</c:v>
                </c:pt>
                <c:pt idx="29">
                  <c:v>136.64317250890838</c:v>
                </c:pt>
                <c:pt idx="30">
                  <c:v>136.64317250890838</c:v>
                </c:pt>
                <c:pt idx="31">
                  <c:v>136.64317250890838</c:v>
                </c:pt>
                <c:pt idx="32">
                  <c:v>136.64317250890838</c:v>
                </c:pt>
                <c:pt idx="33">
                  <c:v>136.64317250890838</c:v>
                </c:pt>
                <c:pt idx="34">
                  <c:v>136.64317250890838</c:v>
                </c:pt>
                <c:pt idx="35">
                  <c:v>136.89557828892509</c:v>
                </c:pt>
                <c:pt idx="36">
                  <c:v>136.64317250890838</c:v>
                </c:pt>
                <c:pt idx="37">
                  <c:v>136.64317250890838</c:v>
                </c:pt>
                <c:pt idx="38">
                  <c:v>136.64317250890838</c:v>
                </c:pt>
                <c:pt idx="39">
                  <c:v>136.64317250890838</c:v>
                </c:pt>
                <c:pt idx="40">
                  <c:v>136.64317250890838</c:v>
                </c:pt>
                <c:pt idx="41">
                  <c:v>136.64317250890838</c:v>
                </c:pt>
                <c:pt idx="42">
                  <c:v>136.64317250890838</c:v>
                </c:pt>
                <c:pt idx="43">
                  <c:v>136.64317250890838</c:v>
                </c:pt>
                <c:pt idx="44">
                  <c:v>136.64317250890838</c:v>
                </c:pt>
                <c:pt idx="45">
                  <c:v>136.64317250890838</c:v>
                </c:pt>
                <c:pt idx="46">
                  <c:v>136.64317250890838</c:v>
                </c:pt>
                <c:pt idx="47">
                  <c:v>136.64317250890838</c:v>
                </c:pt>
                <c:pt idx="48">
                  <c:v>136.64317250890838</c:v>
                </c:pt>
                <c:pt idx="49">
                  <c:v>136.64317250890838</c:v>
                </c:pt>
                <c:pt idx="50">
                  <c:v>136.89557828892509</c:v>
                </c:pt>
                <c:pt idx="51">
                  <c:v>136.64317250890838</c:v>
                </c:pt>
                <c:pt idx="52">
                  <c:v>136.64317250890838</c:v>
                </c:pt>
                <c:pt idx="53">
                  <c:v>136.64317250890838</c:v>
                </c:pt>
                <c:pt idx="54">
                  <c:v>136.89557828892509</c:v>
                </c:pt>
                <c:pt idx="55">
                  <c:v>136.64317250890838</c:v>
                </c:pt>
                <c:pt idx="56">
                  <c:v>136.89557828892509</c:v>
                </c:pt>
                <c:pt idx="57">
                  <c:v>136.64317250890838</c:v>
                </c:pt>
                <c:pt idx="58">
                  <c:v>136.64317250890838</c:v>
                </c:pt>
                <c:pt idx="59">
                  <c:v>136.64317250890838</c:v>
                </c:pt>
                <c:pt idx="60">
                  <c:v>136.64317250890838</c:v>
                </c:pt>
                <c:pt idx="61">
                  <c:v>136.64317250890838</c:v>
                </c:pt>
                <c:pt idx="62">
                  <c:v>136.64317250890838</c:v>
                </c:pt>
                <c:pt idx="63">
                  <c:v>136.64317250890838</c:v>
                </c:pt>
                <c:pt idx="64">
                  <c:v>136.64317250890838</c:v>
                </c:pt>
                <c:pt idx="65">
                  <c:v>136.64317250890838</c:v>
                </c:pt>
                <c:pt idx="66">
                  <c:v>136.64317250890838</c:v>
                </c:pt>
                <c:pt idx="67">
                  <c:v>136.64317250890838</c:v>
                </c:pt>
                <c:pt idx="68">
                  <c:v>136.64317250890838</c:v>
                </c:pt>
                <c:pt idx="69">
                  <c:v>137.06384880893626</c:v>
                </c:pt>
                <c:pt idx="70">
                  <c:v>136.64317250890838</c:v>
                </c:pt>
                <c:pt idx="71">
                  <c:v>136.64317250890838</c:v>
                </c:pt>
                <c:pt idx="72">
                  <c:v>136.64317250890838</c:v>
                </c:pt>
                <c:pt idx="73">
                  <c:v>136.64317250890838</c:v>
                </c:pt>
                <c:pt idx="74">
                  <c:v>136.64317250890838</c:v>
                </c:pt>
                <c:pt idx="75">
                  <c:v>136.64317250890838</c:v>
                </c:pt>
                <c:pt idx="76">
                  <c:v>136.64317250890838</c:v>
                </c:pt>
                <c:pt idx="77">
                  <c:v>136.64317250890838</c:v>
                </c:pt>
                <c:pt idx="78">
                  <c:v>136.64317250890838</c:v>
                </c:pt>
                <c:pt idx="79">
                  <c:v>136.47490198889722</c:v>
                </c:pt>
                <c:pt idx="80">
                  <c:v>136.64317250890838</c:v>
                </c:pt>
                <c:pt idx="81">
                  <c:v>136.89557828892509</c:v>
                </c:pt>
                <c:pt idx="82">
                  <c:v>136.89557828892509</c:v>
                </c:pt>
                <c:pt idx="83">
                  <c:v>136.64317250890838</c:v>
                </c:pt>
                <c:pt idx="84">
                  <c:v>136.64317250890838</c:v>
                </c:pt>
                <c:pt idx="85">
                  <c:v>136.64317250890838</c:v>
                </c:pt>
                <c:pt idx="86">
                  <c:v>136.64317250890838</c:v>
                </c:pt>
                <c:pt idx="87">
                  <c:v>136.64317250890838</c:v>
                </c:pt>
                <c:pt idx="88">
                  <c:v>136.64317250890838</c:v>
                </c:pt>
                <c:pt idx="89">
                  <c:v>136.64317250890838</c:v>
                </c:pt>
                <c:pt idx="90">
                  <c:v>136.64317250890838</c:v>
                </c:pt>
                <c:pt idx="91">
                  <c:v>136.64317250890838</c:v>
                </c:pt>
                <c:pt idx="92">
                  <c:v>136.64317250890838</c:v>
                </c:pt>
                <c:pt idx="93">
                  <c:v>136.64317250890838</c:v>
                </c:pt>
                <c:pt idx="94">
                  <c:v>136.64317250890838</c:v>
                </c:pt>
                <c:pt idx="95">
                  <c:v>136.64317250890838</c:v>
                </c:pt>
                <c:pt idx="96">
                  <c:v>136.64317250890838</c:v>
                </c:pt>
                <c:pt idx="97">
                  <c:v>136.64317250890838</c:v>
                </c:pt>
                <c:pt idx="98">
                  <c:v>136.47490198889722</c:v>
                </c:pt>
                <c:pt idx="99">
                  <c:v>136.64317250890838</c:v>
                </c:pt>
                <c:pt idx="100">
                  <c:v>136.89557828892509</c:v>
                </c:pt>
                <c:pt idx="101">
                  <c:v>136.64317250890838</c:v>
                </c:pt>
                <c:pt idx="102">
                  <c:v>136.64317250890838</c:v>
                </c:pt>
                <c:pt idx="103">
                  <c:v>136.64317250890838</c:v>
                </c:pt>
                <c:pt idx="104">
                  <c:v>136.64317250890838</c:v>
                </c:pt>
                <c:pt idx="105">
                  <c:v>136.64317250890838</c:v>
                </c:pt>
                <c:pt idx="106">
                  <c:v>136.64317250890838</c:v>
                </c:pt>
                <c:pt idx="107">
                  <c:v>136.64317250890838</c:v>
                </c:pt>
                <c:pt idx="108">
                  <c:v>136.64317250890838</c:v>
                </c:pt>
                <c:pt idx="109">
                  <c:v>136.64317250890838</c:v>
                </c:pt>
                <c:pt idx="110">
                  <c:v>136.64317250890838</c:v>
                </c:pt>
                <c:pt idx="111">
                  <c:v>136.64317250890838</c:v>
                </c:pt>
                <c:pt idx="112">
                  <c:v>136.64317250890838</c:v>
                </c:pt>
                <c:pt idx="113">
                  <c:v>136.64317250890838</c:v>
                </c:pt>
                <c:pt idx="114">
                  <c:v>136.64317250890838</c:v>
                </c:pt>
                <c:pt idx="115">
                  <c:v>136.64317250890838</c:v>
                </c:pt>
                <c:pt idx="116">
                  <c:v>136.64317250890838</c:v>
                </c:pt>
                <c:pt idx="117">
                  <c:v>136.64317250890838</c:v>
                </c:pt>
                <c:pt idx="118">
                  <c:v>136.64317250890838</c:v>
                </c:pt>
                <c:pt idx="119">
                  <c:v>136.64317250890838</c:v>
                </c:pt>
                <c:pt idx="120">
                  <c:v>136.64317250890838</c:v>
                </c:pt>
                <c:pt idx="121">
                  <c:v>136.64317250890838</c:v>
                </c:pt>
                <c:pt idx="122">
                  <c:v>136.64317250890838</c:v>
                </c:pt>
                <c:pt idx="123">
                  <c:v>136.64317250890838</c:v>
                </c:pt>
                <c:pt idx="124">
                  <c:v>136.89557828892509</c:v>
                </c:pt>
                <c:pt idx="125">
                  <c:v>136.64317250890838</c:v>
                </c:pt>
                <c:pt idx="126">
                  <c:v>136.64317250890838</c:v>
                </c:pt>
                <c:pt idx="127">
                  <c:v>136.64317250890838</c:v>
                </c:pt>
                <c:pt idx="128">
                  <c:v>136.64317250890838</c:v>
                </c:pt>
                <c:pt idx="129">
                  <c:v>137.03019470493402</c:v>
                </c:pt>
                <c:pt idx="130">
                  <c:v>136.64317250890838</c:v>
                </c:pt>
                <c:pt idx="131">
                  <c:v>136.64317250890838</c:v>
                </c:pt>
                <c:pt idx="132">
                  <c:v>136.64317250890838</c:v>
                </c:pt>
                <c:pt idx="133">
                  <c:v>136.64317250890838</c:v>
                </c:pt>
                <c:pt idx="134">
                  <c:v>136.64317250890838</c:v>
                </c:pt>
                <c:pt idx="135">
                  <c:v>136.64317250890838</c:v>
                </c:pt>
                <c:pt idx="136">
                  <c:v>136.81144302891951</c:v>
                </c:pt>
                <c:pt idx="137">
                  <c:v>136.64317250890838</c:v>
                </c:pt>
                <c:pt idx="138">
                  <c:v>136.64317250890838</c:v>
                </c:pt>
                <c:pt idx="139">
                  <c:v>137.13115701694073</c:v>
                </c:pt>
                <c:pt idx="140">
                  <c:v>136.72730776891396</c:v>
                </c:pt>
                <c:pt idx="141">
                  <c:v>136.64317250890838</c:v>
                </c:pt>
                <c:pt idx="142">
                  <c:v>136.64317250890838</c:v>
                </c:pt>
                <c:pt idx="143">
                  <c:v>136.64317250890838</c:v>
                </c:pt>
                <c:pt idx="144">
                  <c:v>136.64317250890838</c:v>
                </c:pt>
                <c:pt idx="145">
                  <c:v>136.64317250890838</c:v>
                </c:pt>
                <c:pt idx="146">
                  <c:v>136.64317250890838</c:v>
                </c:pt>
                <c:pt idx="147">
                  <c:v>136.64317250890838</c:v>
                </c:pt>
                <c:pt idx="148">
                  <c:v>136.64317250890838</c:v>
                </c:pt>
                <c:pt idx="149">
                  <c:v>136.64317250890838</c:v>
                </c:pt>
                <c:pt idx="150">
                  <c:v>136.72730776891396</c:v>
                </c:pt>
                <c:pt idx="151">
                  <c:v>136.64317250890838</c:v>
                </c:pt>
                <c:pt idx="152">
                  <c:v>136.65719505224263</c:v>
                </c:pt>
                <c:pt idx="153">
                  <c:v>136.64317250890838</c:v>
                </c:pt>
                <c:pt idx="154">
                  <c:v>136.64317250890838</c:v>
                </c:pt>
                <c:pt idx="155">
                  <c:v>136.64317250890838</c:v>
                </c:pt>
                <c:pt idx="156">
                  <c:v>136.64317250890838</c:v>
                </c:pt>
                <c:pt idx="157">
                  <c:v>136.64317250890838</c:v>
                </c:pt>
                <c:pt idx="158">
                  <c:v>136.64317250890838</c:v>
                </c:pt>
                <c:pt idx="159">
                  <c:v>136.81144302891951</c:v>
                </c:pt>
                <c:pt idx="160">
                  <c:v>136.64317250890838</c:v>
                </c:pt>
                <c:pt idx="161">
                  <c:v>136.64317250890838</c:v>
                </c:pt>
                <c:pt idx="162">
                  <c:v>136.64317250890838</c:v>
                </c:pt>
                <c:pt idx="163">
                  <c:v>136.64317250890838</c:v>
                </c:pt>
                <c:pt idx="164">
                  <c:v>136.64317250890838</c:v>
                </c:pt>
                <c:pt idx="165">
                  <c:v>136.64317250890838</c:v>
                </c:pt>
                <c:pt idx="166">
                  <c:v>136.64317250890838</c:v>
                </c:pt>
                <c:pt idx="167">
                  <c:v>136.64317250890838</c:v>
                </c:pt>
                <c:pt idx="168">
                  <c:v>136.89557828892509</c:v>
                </c:pt>
                <c:pt idx="169">
                  <c:v>136.64317250890838</c:v>
                </c:pt>
                <c:pt idx="170">
                  <c:v>136.64317250890838</c:v>
                </c:pt>
                <c:pt idx="171">
                  <c:v>136.64317250890838</c:v>
                </c:pt>
                <c:pt idx="172">
                  <c:v>136.64317250890838</c:v>
                </c:pt>
                <c:pt idx="173">
                  <c:v>136.64317250890838</c:v>
                </c:pt>
                <c:pt idx="174">
                  <c:v>136.64317250890838</c:v>
                </c:pt>
                <c:pt idx="175">
                  <c:v>136.64317250890838</c:v>
                </c:pt>
                <c:pt idx="176">
                  <c:v>136.64317250890838</c:v>
                </c:pt>
                <c:pt idx="177">
                  <c:v>136.64317250890838</c:v>
                </c:pt>
                <c:pt idx="178">
                  <c:v>136.64317250890838</c:v>
                </c:pt>
                <c:pt idx="179">
                  <c:v>136.64317250890838</c:v>
                </c:pt>
                <c:pt idx="180">
                  <c:v>136.64317250890838</c:v>
                </c:pt>
                <c:pt idx="181">
                  <c:v>136.64317250890838</c:v>
                </c:pt>
                <c:pt idx="182">
                  <c:v>136.64317250890838</c:v>
                </c:pt>
                <c:pt idx="183">
                  <c:v>136.64317250890838</c:v>
                </c:pt>
                <c:pt idx="184">
                  <c:v>137.03019470493402</c:v>
                </c:pt>
                <c:pt idx="185">
                  <c:v>136.64317250890838</c:v>
                </c:pt>
                <c:pt idx="186">
                  <c:v>136.64317250890838</c:v>
                </c:pt>
                <c:pt idx="187">
                  <c:v>136.64317250890838</c:v>
                </c:pt>
                <c:pt idx="188">
                  <c:v>136.64317250890838</c:v>
                </c:pt>
                <c:pt idx="189">
                  <c:v>136.64317250890838</c:v>
                </c:pt>
                <c:pt idx="190">
                  <c:v>136.64317250890838</c:v>
                </c:pt>
                <c:pt idx="191">
                  <c:v>136.64317250890838</c:v>
                </c:pt>
                <c:pt idx="192">
                  <c:v>136.64317250890838</c:v>
                </c:pt>
                <c:pt idx="193">
                  <c:v>136.64317250890838</c:v>
                </c:pt>
                <c:pt idx="194">
                  <c:v>136.47490198889722</c:v>
                </c:pt>
                <c:pt idx="195">
                  <c:v>136.64317250890838</c:v>
                </c:pt>
                <c:pt idx="196">
                  <c:v>136.64317250890838</c:v>
                </c:pt>
                <c:pt idx="197">
                  <c:v>136.64317250890838</c:v>
                </c:pt>
                <c:pt idx="198">
                  <c:v>136.64317250890838</c:v>
                </c:pt>
                <c:pt idx="199">
                  <c:v>136.64317250890838</c:v>
                </c:pt>
                <c:pt idx="200">
                  <c:v>136.64317250890838</c:v>
                </c:pt>
                <c:pt idx="201">
                  <c:v>136.64317250890838</c:v>
                </c:pt>
                <c:pt idx="202">
                  <c:v>136.64317250890838</c:v>
                </c:pt>
                <c:pt idx="203">
                  <c:v>136.64317250890838</c:v>
                </c:pt>
                <c:pt idx="204">
                  <c:v>136.64317250890838</c:v>
                </c:pt>
                <c:pt idx="205">
                  <c:v>136.64317250890838</c:v>
                </c:pt>
                <c:pt idx="206">
                  <c:v>136.64317250890838</c:v>
                </c:pt>
                <c:pt idx="207">
                  <c:v>136.64317250890838</c:v>
                </c:pt>
                <c:pt idx="208">
                  <c:v>136.72730776891396</c:v>
                </c:pt>
                <c:pt idx="209">
                  <c:v>137.0975029129385</c:v>
                </c:pt>
                <c:pt idx="210">
                  <c:v>136.64317250890838</c:v>
                </c:pt>
                <c:pt idx="211">
                  <c:v>136.64317250890838</c:v>
                </c:pt>
                <c:pt idx="212">
                  <c:v>136.64317250890838</c:v>
                </c:pt>
                <c:pt idx="213">
                  <c:v>136.64317250890838</c:v>
                </c:pt>
                <c:pt idx="214">
                  <c:v>136.64317250890838</c:v>
                </c:pt>
                <c:pt idx="215">
                  <c:v>136.47490198889722</c:v>
                </c:pt>
                <c:pt idx="216">
                  <c:v>136.72730776891396</c:v>
                </c:pt>
                <c:pt idx="217">
                  <c:v>136.64317250890838</c:v>
                </c:pt>
                <c:pt idx="218">
                  <c:v>136.64317250890838</c:v>
                </c:pt>
                <c:pt idx="219">
                  <c:v>136.64317250890838</c:v>
                </c:pt>
                <c:pt idx="220">
                  <c:v>136.64317250890838</c:v>
                </c:pt>
                <c:pt idx="221">
                  <c:v>136.64317250890838</c:v>
                </c:pt>
                <c:pt idx="222">
                  <c:v>136.64317250890838</c:v>
                </c:pt>
                <c:pt idx="223">
                  <c:v>136.64317250890838</c:v>
                </c:pt>
                <c:pt idx="224">
                  <c:v>136.64317250890838</c:v>
                </c:pt>
                <c:pt idx="225">
                  <c:v>136.89557828892509</c:v>
                </c:pt>
                <c:pt idx="226">
                  <c:v>136.64317250890838</c:v>
                </c:pt>
                <c:pt idx="227">
                  <c:v>136.64317250890838</c:v>
                </c:pt>
                <c:pt idx="228">
                  <c:v>136.64317250890838</c:v>
                </c:pt>
                <c:pt idx="229">
                  <c:v>136.64317250890838</c:v>
                </c:pt>
                <c:pt idx="230">
                  <c:v>136.64317250890838</c:v>
                </c:pt>
                <c:pt idx="231">
                  <c:v>136.64317250890838</c:v>
                </c:pt>
                <c:pt idx="232">
                  <c:v>136.47490198889722</c:v>
                </c:pt>
                <c:pt idx="233">
                  <c:v>136.64317250890838</c:v>
                </c:pt>
                <c:pt idx="234">
                  <c:v>136.64317250890838</c:v>
                </c:pt>
                <c:pt idx="235">
                  <c:v>136.64317250890838</c:v>
                </c:pt>
                <c:pt idx="236">
                  <c:v>136.64317250890838</c:v>
                </c:pt>
                <c:pt idx="237">
                  <c:v>136.64317250890838</c:v>
                </c:pt>
                <c:pt idx="238">
                  <c:v>136.89557828892509</c:v>
                </c:pt>
                <c:pt idx="239">
                  <c:v>136.64317250890838</c:v>
                </c:pt>
                <c:pt idx="240">
                  <c:v>136.64317250890838</c:v>
                </c:pt>
                <c:pt idx="241">
                  <c:v>136.64317250890838</c:v>
                </c:pt>
                <c:pt idx="242">
                  <c:v>136.89557828892509</c:v>
                </c:pt>
                <c:pt idx="243">
                  <c:v>136.47490198889722</c:v>
                </c:pt>
                <c:pt idx="244">
                  <c:v>136.72730776891396</c:v>
                </c:pt>
                <c:pt idx="245">
                  <c:v>136.64317250890838</c:v>
                </c:pt>
                <c:pt idx="246">
                  <c:v>136.64317250890838</c:v>
                </c:pt>
                <c:pt idx="247">
                  <c:v>136.64317250890838</c:v>
                </c:pt>
                <c:pt idx="248">
                  <c:v>136.64317250890838</c:v>
                </c:pt>
                <c:pt idx="249">
                  <c:v>136.64317250890838</c:v>
                </c:pt>
                <c:pt idx="250">
                  <c:v>136.64317250890838</c:v>
                </c:pt>
                <c:pt idx="251">
                  <c:v>136.64317250890838</c:v>
                </c:pt>
                <c:pt idx="252">
                  <c:v>136.64317250890838</c:v>
                </c:pt>
                <c:pt idx="253">
                  <c:v>136.64317250890838</c:v>
                </c:pt>
                <c:pt idx="254">
                  <c:v>136.64317250890838</c:v>
                </c:pt>
                <c:pt idx="255">
                  <c:v>136.64317250890838</c:v>
                </c:pt>
                <c:pt idx="256">
                  <c:v>136.64317250890838</c:v>
                </c:pt>
                <c:pt idx="257">
                  <c:v>136.64317250890838</c:v>
                </c:pt>
                <c:pt idx="258">
                  <c:v>136.64317250890838</c:v>
                </c:pt>
                <c:pt idx="259">
                  <c:v>136.47490198889722</c:v>
                </c:pt>
                <c:pt idx="260">
                  <c:v>136.64317250890838</c:v>
                </c:pt>
                <c:pt idx="261">
                  <c:v>136.64317250890838</c:v>
                </c:pt>
                <c:pt idx="262">
                  <c:v>136.64317250890838</c:v>
                </c:pt>
                <c:pt idx="263">
                  <c:v>136.64317250890838</c:v>
                </c:pt>
                <c:pt idx="264">
                  <c:v>136.64317250890838</c:v>
                </c:pt>
                <c:pt idx="265">
                  <c:v>136.64317250890838</c:v>
                </c:pt>
                <c:pt idx="266">
                  <c:v>136.64317250890838</c:v>
                </c:pt>
                <c:pt idx="267">
                  <c:v>136.64317250890838</c:v>
                </c:pt>
                <c:pt idx="268">
                  <c:v>136.64317250890838</c:v>
                </c:pt>
                <c:pt idx="269">
                  <c:v>136.64317250890838</c:v>
                </c:pt>
                <c:pt idx="270">
                  <c:v>136.89557828892509</c:v>
                </c:pt>
                <c:pt idx="271">
                  <c:v>136.64317250890838</c:v>
                </c:pt>
                <c:pt idx="272">
                  <c:v>136.64317250890838</c:v>
                </c:pt>
                <c:pt idx="273">
                  <c:v>136.64317250890838</c:v>
                </c:pt>
                <c:pt idx="274">
                  <c:v>136.64317250890838</c:v>
                </c:pt>
                <c:pt idx="275">
                  <c:v>136.64317250890838</c:v>
                </c:pt>
                <c:pt idx="276">
                  <c:v>136.64317250890838</c:v>
                </c:pt>
                <c:pt idx="277">
                  <c:v>136.64317250890838</c:v>
                </c:pt>
                <c:pt idx="278">
                  <c:v>136.64317250890838</c:v>
                </c:pt>
                <c:pt idx="279">
                  <c:v>136.64317250890838</c:v>
                </c:pt>
                <c:pt idx="280">
                  <c:v>136.64317250890838</c:v>
                </c:pt>
                <c:pt idx="281">
                  <c:v>136.64317250890838</c:v>
                </c:pt>
                <c:pt idx="282">
                  <c:v>136.64317250890838</c:v>
                </c:pt>
                <c:pt idx="283">
                  <c:v>136.64317250890838</c:v>
                </c:pt>
                <c:pt idx="284">
                  <c:v>136.64317250890838</c:v>
                </c:pt>
                <c:pt idx="285">
                  <c:v>136.64317250890838</c:v>
                </c:pt>
                <c:pt idx="286">
                  <c:v>136.64317250890838</c:v>
                </c:pt>
                <c:pt idx="287">
                  <c:v>136.64317250890838</c:v>
                </c:pt>
                <c:pt idx="288">
                  <c:v>136.47490198889722</c:v>
                </c:pt>
                <c:pt idx="289">
                  <c:v>136.64317250890838</c:v>
                </c:pt>
                <c:pt idx="290">
                  <c:v>136.64317250890838</c:v>
                </c:pt>
                <c:pt idx="291">
                  <c:v>136.64317250890838</c:v>
                </c:pt>
                <c:pt idx="292">
                  <c:v>136.64317250890838</c:v>
                </c:pt>
                <c:pt idx="293">
                  <c:v>136.64317250890838</c:v>
                </c:pt>
                <c:pt idx="294">
                  <c:v>136.64317250890838</c:v>
                </c:pt>
                <c:pt idx="295">
                  <c:v>136.64317250890838</c:v>
                </c:pt>
                <c:pt idx="296">
                  <c:v>136.64317250890838</c:v>
                </c:pt>
                <c:pt idx="297">
                  <c:v>136.64317250890838</c:v>
                </c:pt>
                <c:pt idx="298">
                  <c:v>136.64317250890838</c:v>
                </c:pt>
                <c:pt idx="299">
                  <c:v>136.64317250890838</c:v>
                </c:pt>
                <c:pt idx="300">
                  <c:v>136.64317250890838</c:v>
                </c:pt>
                <c:pt idx="301">
                  <c:v>136.64317250890838</c:v>
                </c:pt>
                <c:pt idx="302">
                  <c:v>136.64317250890838</c:v>
                </c:pt>
                <c:pt idx="303">
                  <c:v>136.64317250890838</c:v>
                </c:pt>
                <c:pt idx="304">
                  <c:v>136.64317250890838</c:v>
                </c:pt>
                <c:pt idx="305">
                  <c:v>137.03019470493402</c:v>
                </c:pt>
                <c:pt idx="306">
                  <c:v>136.64317250890838</c:v>
                </c:pt>
                <c:pt idx="307">
                  <c:v>136.72730776891396</c:v>
                </c:pt>
                <c:pt idx="308">
                  <c:v>136.89557828892509</c:v>
                </c:pt>
                <c:pt idx="309">
                  <c:v>136.64317250890838</c:v>
                </c:pt>
                <c:pt idx="310">
                  <c:v>136.64317250890838</c:v>
                </c:pt>
                <c:pt idx="311">
                  <c:v>136.64317250890838</c:v>
                </c:pt>
                <c:pt idx="312">
                  <c:v>136.64317250890838</c:v>
                </c:pt>
                <c:pt idx="313">
                  <c:v>136.64317250890838</c:v>
                </c:pt>
                <c:pt idx="314">
                  <c:v>136.64317250890838</c:v>
                </c:pt>
                <c:pt idx="315">
                  <c:v>136.97971354893068</c:v>
                </c:pt>
                <c:pt idx="316">
                  <c:v>136.64317250890838</c:v>
                </c:pt>
                <c:pt idx="317">
                  <c:v>136.64317250890838</c:v>
                </c:pt>
                <c:pt idx="318">
                  <c:v>137.13957054294127</c:v>
                </c:pt>
                <c:pt idx="319">
                  <c:v>136.64317250890838</c:v>
                </c:pt>
                <c:pt idx="320">
                  <c:v>136.64317250890838</c:v>
                </c:pt>
                <c:pt idx="321">
                  <c:v>136.64317250890838</c:v>
                </c:pt>
                <c:pt idx="322">
                  <c:v>136.64317250890838</c:v>
                </c:pt>
                <c:pt idx="323">
                  <c:v>136.64317250890838</c:v>
                </c:pt>
                <c:pt idx="324">
                  <c:v>136.64317250890838</c:v>
                </c:pt>
                <c:pt idx="325">
                  <c:v>136.64317250890838</c:v>
                </c:pt>
                <c:pt idx="326">
                  <c:v>136.64317250890838</c:v>
                </c:pt>
                <c:pt idx="327">
                  <c:v>136.64317250890838</c:v>
                </c:pt>
                <c:pt idx="328">
                  <c:v>136.64317250890838</c:v>
                </c:pt>
                <c:pt idx="329">
                  <c:v>136.64317250890838</c:v>
                </c:pt>
                <c:pt idx="330">
                  <c:v>136.64317250890838</c:v>
                </c:pt>
                <c:pt idx="331">
                  <c:v>136.81144302891951</c:v>
                </c:pt>
                <c:pt idx="332">
                  <c:v>136.64317250890838</c:v>
                </c:pt>
                <c:pt idx="333">
                  <c:v>136.89557828892509</c:v>
                </c:pt>
                <c:pt idx="334">
                  <c:v>136.64317250890838</c:v>
                </c:pt>
                <c:pt idx="335">
                  <c:v>136.89557828892509</c:v>
                </c:pt>
                <c:pt idx="336">
                  <c:v>136.64317250890838</c:v>
                </c:pt>
              </c:numCache>
            </c:numRef>
          </c:yVal>
          <c:smooth val="0"/>
          <c:extLst>
            <c:ext xmlns:c16="http://schemas.microsoft.com/office/drawing/2014/chart" uri="{C3380CC4-5D6E-409C-BE32-E72D297353CC}">
              <c16:uniqueId val="{00000000-CE6A-4748-A5D5-A65FA31C7AB5}"/>
            </c:ext>
          </c:extLst>
        </c:ser>
        <c:ser>
          <c:idx val="1"/>
          <c:order val="1"/>
          <c:tx>
            <c:strRef>
              <c:f>RA_1_LoanTerm!$C$24</c:f>
              <c:strCache>
                <c:ptCount val="1"/>
                <c:pt idx="0">
                  <c:v>Residuals</c:v>
                </c:pt>
              </c:strCache>
            </c:strRef>
          </c:tx>
          <c:spPr>
            <a:ln w="19050" cap="rnd">
              <a:noFill/>
              <a:round/>
            </a:ln>
            <a:effectLst/>
          </c:spPr>
          <c:marker>
            <c:symbol val="circle"/>
            <c:size val="5"/>
            <c:spPr>
              <a:solidFill>
                <a:schemeClr val="accent2"/>
              </a:solidFill>
              <a:ln w="9525">
                <a:solidFill>
                  <a:schemeClr val="accent2"/>
                </a:solidFill>
              </a:ln>
              <a:effectLst/>
            </c:spPr>
          </c:marker>
          <c:xVal>
            <c:numRef>
              <c:f>RA_1_LoanTerm!$A$25:$A$361</c:f>
              <c:numCache>
                <c:formatCode>General</c:formatCode>
                <c:ptCount val="33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numCache>
            </c:numRef>
          </c:xVal>
          <c:yVal>
            <c:numRef>
              <c:f>RA_1_LoanTerm!$C$25:$C$361</c:f>
              <c:numCache>
                <c:formatCode>General</c:formatCode>
                <c:ptCount val="337"/>
                <c:pt idx="0">
                  <c:v>-10.643172508908378</c:v>
                </c:pt>
                <c:pt idx="1">
                  <c:v>71.356827491091622</c:v>
                </c:pt>
                <c:pt idx="2">
                  <c:v>-36.643172508908378</c:v>
                </c:pt>
                <c:pt idx="3">
                  <c:v>-58.643172508908378</c:v>
                </c:pt>
                <c:pt idx="4">
                  <c:v>15.356827491091622</c:v>
                </c:pt>
                <c:pt idx="5">
                  <c:v>-77.643172508908378</c:v>
                </c:pt>
                <c:pt idx="6">
                  <c:v>10.356827491091622</c:v>
                </c:pt>
                <c:pt idx="7">
                  <c:v>143.18855697108049</c:v>
                </c:pt>
                <c:pt idx="8">
                  <c:v>-13.643172508908378</c:v>
                </c:pt>
                <c:pt idx="9">
                  <c:v>-46.643172508908378</c:v>
                </c:pt>
                <c:pt idx="10">
                  <c:v>25.356827491091622</c:v>
                </c:pt>
                <c:pt idx="11">
                  <c:v>-96.895578288925094</c:v>
                </c:pt>
                <c:pt idx="12">
                  <c:v>29.356827491091622</c:v>
                </c:pt>
                <c:pt idx="13">
                  <c:v>-12.643172508908378</c:v>
                </c:pt>
                <c:pt idx="14">
                  <c:v>-5.6431725089083784</c:v>
                </c:pt>
                <c:pt idx="15">
                  <c:v>63.356827491091622</c:v>
                </c:pt>
                <c:pt idx="16">
                  <c:v>-10.643172508908378</c:v>
                </c:pt>
                <c:pt idx="17">
                  <c:v>163.35682749109162</c:v>
                </c:pt>
                <c:pt idx="18">
                  <c:v>-36.895578288925094</c:v>
                </c:pt>
                <c:pt idx="19">
                  <c:v>-88.643172508908378</c:v>
                </c:pt>
                <c:pt idx="20">
                  <c:v>-108.89557828892509</c:v>
                </c:pt>
                <c:pt idx="21">
                  <c:v>-35.643172508908378</c:v>
                </c:pt>
                <c:pt idx="22">
                  <c:v>-11.643172508908378</c:v>
                </c:pt>
                <c:pt idx="23">
                  <c:v>153.35682749109162</c:v>
                </c:pt>
                <c:pt idx="24">
                  <c:v>11.356827491091622</c:v>
                </c:pt>
                <c:pt idx="25">
                  <c:v>3.3568274910916216</c:v>
                </c:pt>
                <c:pt idx="26">
                  <c:v>138.35682749109162</c:v>
                </c:pt>
                <c:pt idx="27">
                  <c:v>-79.643172508908378</c:v>
                </c:pt>
                <c:pt idx="28">
                  <c:v>-11.895578288925094</c:v>
                </c:pt>
                <c:pt idx="29">
                  <c:v>-61.643172508908378</c:v>
                </c:pt>
                <c:pt idx="30">
                  <c:v>55.356827491091622</c:v>
                </c:pt>
                <c:pt idx="31">
                  <c:v>15.356827491091622</c:v>
                </c:pt>
                <c:pt idx="32">
                  <c:v>21.356827491091622</c:v>
                </c:pt>
                <c:pt idx="33">
                  <c:v>-35.643172508908378</c:v>
                </c:pt>
                <c:pt idx="34">
                  <c:v>39.356827491091622</c:v>
                </c:pt>
                <c:pt idx="35">
                  <c:v>48.104421711074906</c:v>
                </c:pt>
                <c:pt idx="36">
                  <c:v>-46.643172508908378</c:v>
                </c:pt>
                <c:pt idx="37">
                  <c:v>-20.643172508908378</c:v>
                </c:pt>
                <c:pt idx="38">
                  <c:v>1.3568274910916216</c:v>
                </c:pt>
                <c:pt idx="39">
                  <c:v>-36.643172508908378</c:v>
                </c:pt>
                <c:pt idx="40">
                  <c:v>-26.643172508908378</c:v>
                </c:pt>
                <c:pt idx="41">
                  <c:v>-46.643172508908378</c:v>
                </c:pt>
                <c:pt idx="42">
                  <c:v>63.356827491091622</c:v>
                </c:pt>
                <c:pt idx="43">
                  <c:v>-52.643172508908378</c:v>
                </c:pt>
                <c:pt idx="44">
                  <c:v>48.356827491091622</c:v>
                </c:pt>
                <c:pt idx="45">
                  <c:v>25.356827491091622</c:v>
                </c:pt>
                <c:pt idx="46">
                  <c:v>-28.643172508908378</c:v>
                </c:pt>
                <c:pt idx="47">
                  <c:v>50.356827491091622</c:v>
                </c:pt>
                <c:pt idx="48">
                  <c:v>50.356827491091622</c:v>
                </c:pt>
                <c:pt idx="49">
                  <c:v>-12.643172508908378</c:v>
                </c:pt>
                <c:pt idx="50">
                  <c:v>-16.895578288925094</c:v>
                </c:pt>
                <c:pt idx="51">
                  <c:v>23.356827491091622</c:v>
                </c:pt>
                <c:pt idx="52">
                  <c:v>-106.64317250890838</c:v>
                </c:pt>
                <c:pt idx="53">
                  <c:v>-44.643172508908378</c:v>
                </c:pt>
                <c:pt idx="54">
                  <c:v>-6.8955782889250941</c:v>
                </c:pt>
                <c:pt idx="55">
                  <c:v>-6.6431725089083784</c:v>
                </c:pt>
                <c:pt idx="56">
                  <c:v>-2.8955782889250941</c:v>
                </c:pt>
                <c:pt idx="57">
                  <c:v>39.356827491091622</c:v>
                </c:pt>
                <c:pt idx="58">
                  <c:v>-46.643172508908378</c:v>
                </c:pt>
                <c:pt idx="59">
                  <c:v>-26.643172508908378</c:v>
                </c:pt>
                <c:pt idx="60">
                  <c:v>-11.643172508908378</c:v>
                </c:pt>
                <c:pt idx="61">
                  <c:v>52.356827491091622</c:v>
                </c:pt>
                <c:pt idx="62">
                  <c:v>-28.643172508908378</c:v>
                </c:pt>
                <c:pt idx="63">
                  <c:v>-11.643172508908378</c:v>
                </c:pt>
                <c:pt idx="64">
                  <c:v>1.3568274910916216</c:v>
                </c:pt>
                <c:pt idx="65">
                  <c:v>-1.6431725089083784</c:v>
                </c:pt>
                <c:pt idx="66">
                  <c:v>-6.6431725089083784</c:v>
                </c:pt>
                <c:pt idx="67">
                  <c:v>50.356827491091622</c:v>
                </c:pt>
                <c:pt idx="68">
                  <c:v>51.356827491091622</c:v>
                </c:pt>
                <c:pt idx="69">
                  <c:v>-42.063848808936257</c:v>
                </c:pt>
                <c:pt idx="70">
                  <c:v>-71.643172508908378</c:v>
                </c:pt>
                <c:pt idx="71">
                  <c:v>2.3568274910916216</c:v>
                </c:pt>
                <c:pt idx="72">
                  <c:v>95.356827491091622</c:v>
                </c:pt>
                <c:pt idx="73">
                  <c:v>7.3568274910916216</c:v>
                </c:pt>
                <c:pt idx="74">
                  <c:v>18.356827491091622</c:v>
                </c:pt>
                <c:pt idx="75">
                  <c:v>49.356827491091622</c:v>
                </c:pt>
                <c:pt idx="76">
                  <c:v>-86.643172508908378</c:v>
                </c:pt>
                <c:pt idx="77">
                  <c:v>48.356827491091622</c:v>
                </c:pt>
                <c:pt idx="78">
                  <c:v>26.356827491091622</c:v>
                </c:pt>
                <c:pt idx="79">
                  <c:v>223.52509801110278</c:v>
                </c:pt>
                <c:pt idx="80">
                  <c:v>12.356827491091622</c:v>
                </c:pt>
                <c:pt idx="81">
                  <c:v>120.10442171107491</c:v>
                </c:pt>
                <c:pt idx="82">
                  <c:v>-5.8955782889250941</c:v>
                </c:pt>
                <c:pt idx="83">
                  <c:v>-34.643172508908378</c:v>
                </c:pt>
                <c:pt idx="84">
                  <c:v>-1.6431725089083784</c:v>
                </c:pt>
                <c:pt idx="85">
                  <c:v>-41.643172508908378</c:v>
                </c:pt>
                <c:pt idx="86">
                  <c:v>-59.643172508908378</c:v>
                </c:pt>
                <c:pt idx="87">
                  <c:v>63.356827491091622</c:v>
                </c:pt>
                <c:pt idx="88">
                  <c:v>-6.6431725089083784</c:v>
                </c:pt>
                <c:pt idx="89">
                  <c:v>253.35682749109162</c:v>
                </c:pt>
                <c:pt idx="90">
                  <c:v>48.356827491091622</c:v>
                </c:pt>
                <c:pt idx="91">
                  <c:v>-36.643172508908378</c:v>
                </c:pt>
                <c:pt idx="92">
                  <c:v>-13.643172508908378</c:v>
                </c:pt>
                <c:pt idx="93">
                  <c:v>-26.643172508908378</c:v>
                </c:pt>
                <c:pt idx="94">
                  <c:v>119.35682749109162</c:v>
                </c:pt>
                <c:pt idx="95">
                  <c:v>3.3568274910916216</c:v>
                </c:pt>
                <c:pt idx="96">
                  <c:v>-75.643172508908378</c:v>
                </c:pt>
                <c:pt idx="97">
                  <c:v>51.356827491091622</c:v>
                </c:pt>
                <c:pt idx="98">
                  <c:v>-5.4749019888972157</c:v>
                </c:pt>
                <c:pt idx="99">
                  <c:v>-20.643172508908378</c:v>
                </c:pt>
                <c:pt idx="100">
                  <c:v>-86.895578288925094</c:v>
                </c:pt>
                <c:pt idx="101">
                  <c:v>-29.643172508908378</c:v>
                </c:pt>
                <c:pt idx="102">
                  <c:v>63.356827491091622</c:v>
                </c:pt>
                <c:pt idx="103">
                  <c:v>-17.643172508908378</c:v>
                </c:pt>
                <c:pt idx="104">
                  <c:v>-16.643172508908378</c:v>
                </c:pt>
                <c:pt idx="105">
                  <c:v>3.3568274910916216</c:v>
                </c:pt>
                <c:pt idx="106">
                  <c:v>28.356827491091622</c:v>
                </c:pt>
                <c:pt idx="107">
                  <c:v>-28.643172508908378</c:v>
                </c:pt>
                <c:pt idx="108">
                  <c:v>-43.643172508908378</c:v>
                </c:pt>
                <c:pt idx="109">
                  <c:v>-34.643172508908378</c:v>
                </c:pt>
                <c:pt idx="110">
                  <c:v>-14.643172508908378</c:v>
                </c:pt>
                <c:pt idx="111">
                  <c:v>23.356827491091622</c:v>
                </c:pt>
                <c:pt idx="112">
                  <c:v>20.356827491091622</c:v>
                </c:pt>
                <c:pt idx="113">
                  <c:v>43.356827491091622</c:v>
                </c:pt>
                <c:pt idx="114">
                  <c:v>-56.643172508908378</c:v>
                </c:pt>
                <c:pt idx="115">
                  <c:v>-32.643172508908378</c:v>
                </c:pt>
                <c:pt idx="116">
                  <c:v>76.356827491091622</c:v>
                </c:pt>
                <c:pt idx="117">
                  <c:v>-71.643172508908378</c:v>
                </c:pt>
                <c:pt idx="118">
                  <c:v>9.3568274910916216</c:v>
                </c:pt>
                <c:pt idx="119">
                  <c:v>-1.6431725089083784</c:v>
                </c:pt>
                <c:pt idx="120">
                  <c:v>50.356827491091622</c:v>
                </c:pt>
                <c:pt idx="121">
                  <c:v>163.35682749109162</c:v>
                </c:pt>
                <c:pt idx="122">
                  <c:v>-16.643172508908378</c:v>
                </c:pt>
                <c:pt idx="123">
                  <c:v>-65.643172508908378</c:v>
                </c:pt>
                <c:pt idx="124">
                  <c:v>88.104421711074906</c:v>
                </c:pt>
                <c:pt idx="125">
                  <c:v>-66.643172508908378</c:v>
                </c:pt>
                <c:pt idx="126">
                  <c:v>-66.643172508908378</c:v>
                </c:pt>
                <c:pt idx="127">
                  <c:v>-12.643172508908378</c:v>
                </c:pt>
                <c:pt idx="128">
                  <c:v>-4.6431725089083784</c:v>
                </c:pt>
                <c:pt idx="129">
                  <c:v>-32.030194704934019</c:v>
                </c:pt>
                <c:pt idx="130">
                  <c:v>-46.643172508908378</c:v>
                </c:pt>
                <c:pt idx="131">
                  <c:v>-53.643172508908378</c:v>
                </c:pt>
                <c:pt idx="132">
                  <c:v>-11.643172508908378</c:v>
                </c:pt>
                <c:pt idx="133">
                  <c:v>10.356827491091622</c:v>
                </c:pt>
                <c:pt idx="134">
                  <c:v>-16.643172508908378</c:v>
                </c:pt>
                <c:pt idx="135">
                  <c:v>-26.643172508908378</c:v>
                </c:pt>
                <c:pt idx="136">
                  <c:v>-33.811443028919513</c:v>
                </c:pt>
                <c:pt idx="137">
                  <c:v>13.356827491091622</c:v>
                </c:pt>
                <c:pt idx="138">
                  <c:v>-36.643172508908378</c:v>
                </c:pt>
                <c:pt idx="139">
                  <c:v>1.8688429830592668</c:v>
                </c:pt>
                <c:pt idx="140">
                  <c:v>413.27269223108601</c:v>
                </c:pt>
                <c:pt idx="141">
                  <c:v>123.35682749109162</c:v>
                </c:pt>
                <c:pt idx="142">
                  <c:v>13.356827491091622</c:v>
                </c:pt>
                <c:pt idx="143">
                  <c:v>-46.643172508908378</c:v>
                </c:pt>
                <c:pt idx="144">
                  <c:v>62.356827491091622</c:v>
                </c:pt>
                <c:pt idx="145">
                  <c:v>2.3568274910916216</c:v>
                </c:pt>
                <c:pt idx="146">
                  <c:v>13.356827491091622</c:v>
                </c:pt>
                <c:pt idx="147">
                  <c:v>43.356827491091622</c:v>
                </c:pt>
                <c:pt idx="148">
                  <c:v>-23.643172508908378</c:v>
                </c:pt>
                <c:pt idx="149">
                  <c:v>11.356827491091622</c:v>
                </c:pt>
                <c:pt idx="150">
                  <c:v>-19.72730776891396</c:v>
                </c:pt>
                <c:pt idx="151">
                  <c:v>-64.643172508908378</c:v>
                </c:pt>
                <c:pt idx="152">
                  <c:v>-11.657195052242628</c:v>
                </c:pt>
                <c:pt idx="153">
                  <c:v>77.356827491091622</c:v>
                </c:pt>
                <c:pt idx="154">
                  <c:v>-3.6431725089083784</c:v>
                </c:pt>
                <c:pt idx="155">
                  <c:v>50.356827491091622</c:v>
                </c:pt>
                <c:pt idx="156">
                  <c:v>6.3568274910916216</c:v>
                </c:pt>
                <c:pt idx="157">
                  <c:v>72.356827491091622</c:v>
                </c:pt>
                <c:pt idx="158">
                  <c:v>-52.643172508908378</c:v>
                </c:pt>
                <c:pt idx="159">
                  <c:v>-20.811443028919513</c:v>
                </c:pt>
                <c:pt idx="160">
                  <c:v>-71.643172508908378</c:v>
                </c:pt>
                <c:pt idx="161">
                  <c:v>-56.643172508908378</c:v>
                </c:pt>
                <c:pt idx="162">
                  <c:v>33.356827491091622</c:v>
                </c:pt>
                <c:pt idx="163">
                  <c:v>-16.643172508908378</c:v>
                </c:pt>
                <c:pt idx="164">
                  <c:v>-1.6431725089083784</c:v>
                </c:pt>
                <c:pt idx="165">
                  <c:v>-42.643172508908378</c:v>
                </c:pt>
                <c:pt idx="166">
                  <c:v>-57.643172508908378</c:v>
                </c:pt>
                <c:pt idx="167">
                  <c:v>-26.643172508908378</c:v>
                </c:pt>
                <c:pt idx="168">
                  <c:v>-6.8955782889250941</c:v>
                </c:pt>
                <c:pt idx="169">
                  <c:v>6.3568274910916216</c:v>
                </c:pt>
                <c:pt idx="170">
                  <c:v>22.356827491091622</c:v>
                </c:pt>
                <c:pt idx="171">
                  <c:v>-26.643172508908378</c:v>
                </c:pt>
                <c:pt idx="172">
                  <c:v>23.356827491091622</c:v>
                </c:pt>
                <c:pt idx="173">
                  <c:v>-5.6431725089083784</c:v>
                </c:pt>
                <c:pt idx="174">
                  <c:v>-71.643172508908378</c:v>
                </c:pt>
                <c:pt idx="175">
                  <c:v>6.3568274910916216</c:v>
                </c:pt>
                <c:pt idx="176">
                  <c:v>50.356827491091622</c:v>
                </c:pt>
                <c:pt idx="177">
                  <c:v>23.356827491091622</c:v>
                </c:pt>
                <c:pt idx="178">
                  <c:v>28.356827491091622</c:v>
                </c:pt>
                <c:pt idx="179">
                  <c:v>-26.643172508908378</c:v>
                </c:pt>
                <c:pt idx="180">
                  <c:v>36.356827491091622</c:v>
                </c:pt>
                <c:pt idx="181">
                  <c:v>13.356827491091622</c:v>
                </c:pt>
                <c:pt idx="182">
                  <c:v>-1.6431725089083784</c:v>
                </c:pt>
                <c:pt idx="183">
                  <c:v>13.356827491091622</c:v>
                </c:pt>
                <c:pt idx="184">
                  <c:v>97.969805295065981</c:v>
                </c:pt>
                <c:pt idx="185">
                  <c:v>199.35682749109162</c:v>
                </c:pt>
                <c:pt idx="186">
                  <c:v>-4.6431725089083784</c:v>
                </c:pt>
                <c:pt idx="187">
                  <c:v>-40.643172508908378</c:v>
                </c:pt>
                <c:pt idx="188">
                  <c:v>43.356827491091622</c:v>
                </c:pt>
                <c:pt idx="189">
                  <c:v>-8.6431725089083784</c:v>
                </c:pt>
                <c:pt idx="190">
                  <c:v>275.35682749109162</c:v>
                </c:pt>
                <c:pt idx="191">
                  <c:v>-20.643172508908378</c:v>
                </c:pt>
                <c:pt idx="192">
                  <c:v>-22.643172508908378</c:v>
                </c:pt>
                <c:pt idx="193">
                  <c:v>-21.643172508908378</c:v>
                </c:pt>
                <c:pt idx="194">
                  <c:v>-32.474901988897216</c:v>
                </c:pt>
                <c:pt idx="195">
                  <c:v>-48.643172508908378</c:v>
                </c:pt>
                <c:pt idx="196">
                  <c:v>-28.643172508908378</c:v>
                </c:pt>
                <c:pt idx="197">
                  <c:v>-46.643172508908378</c:v>
                </c:pt>
                <c:pt idx="198">
                  <c:v>-36.643172508908378</c:v>
                </c:pt>
                <c:pt idx="199">
                  <c:v>-28.643172508908378</c:v>
                </c:pt>
                <c:pt idx="200">
                  <c:v>-58.643172508908378</c:v>
                </c:pt>
                <c:pt idx="201">
                  <c:v>-13.643172508908378</c:v>
                </c:pt>
                <c:pt idx="202">
                  <c:v>50.356827491091622</c:v>
                </c:pt>
                <c:pt idx="203">
                  <c:v>9.3568274910916216</c:v>
                </c:pt>
                <c:pt idx="204">
                  <c:v>-56.643172508908378</c:v>
                </c:pt>
                <c:pt idx="205">
                  <c:v>-36.643172508908378</c:v>
                </c:pt>
                <c:pt idx="206">
                  <c:v>-81.643172508908378</c:v>
                </c:pt>
                <c:pt idx="207">
                  <c:v>63.356827491091622</c:v>
                </c:pt>
                <c:pt idx="208">
                  <c:v>13.27269223108604</c:v>
                </c:pt>
                <c:pt idx="209">
                  <c:v>12.902497087061505</c:v>
                </c:pt>
                <c:pt idx="210">
                  <c:v>-18.643172508908378</c:v>
                </c:pt>
                <c:pt idx="211">
                  <c:v>13.356827491091622</c:v>
                </c:pt>
                <c:pt idx="212">
                  <c:v>-18.643172508908378</c:v>
                </c:pt>
                <c:pt idx="213">
                  <c:v>75.356827491091622</c:v>
                </c:pt>
                <c:pt idx="214">
                  <c:v>75.356827491091622</c:v>
                </c:pt>
                <c:pt idx="215">
                  <c:v>-11.474901988897216</c:v>
                </c:pt>
                <c:pt idx="216">
                  <c:v>-28.72730776891396</c:v>
                </c:pt>
                <c:pt idx="217">
                  <c:v>12.356827491091622</c:v>
                </c:pt>
                <c:pt idx="218">
                  <c:v>-56.643172508908378</c:v>
                </c:pt>
                <c:pt idx="219">
                  <c:v>15.356827491091622</c:v>
                </c:pt>
                <c:pt idx="220">
                  <c:v>50.356827491091622</c:v>
                </c:pt>
                <c:pt idx="221">
                  <c:v>-62.643172508908378</c:v>
                </c:pt>
                <c:pt idx="222">
                  <c:v>-34.643172508908378</c:v>
                </c:pt>
                <c:pt idx="223">
                  <c:v>-36.643172508908378</c:v>
                </c:pt>
                <c:pt idx="224">
                  <c:v>-6.6431725089083784</c:v>
                </c:pt>
                <c:pt idx="225">
                  <c:v>-11.895578288925094</c:v>
                </c:pt>
                <c:pt idx="226">
                  <c:v>-6.6431725089083784</c:v>
                </c:pt>
                <c:pt idx="227">
                  <c:v>1.3568274910916216</c:v>
                </c:pt>
                <c:pt idx="228">
                  <c:v>-108.64317250890838</c:v>
                </c:pt>
                <c:pt idx="229">
                  <c:v>-44.643172508908378</c:v>
                </c:pt>
                <c:pt idx="230">
                  <c:v>-32.643172508908378</c:v>
                </c:pt>
                <c:pt idx="231">
                  <c:v>39.356827491091622</c:v>
                </c:pt>
                <c:pt idx="232">
                  <c:v>-19.474901988897216</c:v>
                </c:pt>
                <c:pt idx="233">
                  <c:v>-34.643172508908378</c:v>
                </c:pt>
                <c:pt idx="234">
                  <c:v>-29.643172508908378</c:v>
                </c:pt>
                <c:pt idx="235">
                  <c:v>-70.643172508908378</c:v>
                </c:pt>
                <c:pt idx="236">
                  <c:v>-31.643172508908378</c:v>
                </c:pt>
                <c:pt idx="237">
                  <c:v>-31.643172508908378</c:v>
                </c:pt>
                <c:pt idx="238">
                  <c:v>-31.895578288925094</c:v>
                </c:pt>
                <c:pt idx="239">
                  <c:v>-11.643172508908378</c:v>
                </c:pt>
                <c:pt idx="240">
                  <c:v>-72.643172508908378</c:v>
                </c:pt>
                <c:pt idx="241">
                  <c:v>13.356827491091622</c:v>
                </c:pt>
                <c:pt idx="242">
                  <c:v>13.104421711074906</c:v>
                </c:pt>
                <c:pt idx="243">
                  <c:v>-72.474901988897216</c:v>
                </c:pt>
                <c:pt idx="244">
                  <c:v>-96.72730776891396</c:v>
                </c:pt>
                <c:pt idx="245">
                  <c:v>5.3568274910916216</c:v>
                </c:pt>
                <c:pt idx="246">
                  <c:v>-66.643172508908378</c:v>
                </c:pt>
                <c:pt idx="247">
                  <c:v>-5.6431725089083784</c:v>
                </c:pt>
                <c:pt idx="248">
                  <c:v>-16.643172508908378</c:v>
                </c:pt>
                <c:pt idx="249">
                  <c:v>-22.643172508908378</c:v>
                </c:pt>
                <c:pt idx="250">
                  <c:v>-13.643172508908378</c:v>
                </c:pt>
                <c:pt idx="251">
                  <c:v>-44.643172508908378</c:v>
                </c:pt>
                <c:pt idx="252">
                  <c:v>23.356827491091622</c:v>
                </c:pt>
                <c:pt idx="253">
                  <c:v>14.356827491091622</c:v>
                </c:pt>
                <c:pt idx="254">
                  <c:v>-55.643172508908378</c:v>
                </c:pt>
                <c:pt idx="255">
                  <c:v>34.356827491091622</c:v>
                </c:pt>
                <c:pt idx="256">
                  <c:v>-26.643172508908378</c:v>
                </c:pt>
                <c:pt idx="257">
                  <c:v>-36.643172508908378</c:v>
                </c:pt>
                <c:pt idx="258">
                  <c:v>97.356827491091622</c:v>
                </c:pt>
                <c:pt idx="259">
                  <c:v>47.525098011102784</c:v>
                </c:pt>
                <c:pt idx="260">
                  <c:v>1.3568274910916216</c:v>
                </c:pt>
                <c:pt idx="261">
                  <c:v>-24.643172508908378</c:v>
                </c:pt>
                <c:pt idx="262">
                  <c:v>-19.643172508908378</c:v>
                </c:pt>
                <c:pt idx="263">
                  <c:v>-87.643172508908378</c:v>
                </c:pt>
                <c:pt idx="264">
                  <c:v>-37.643172508908378</c:v>
                </c:pt>
                <c:pt idx="265">
                  <c:v>-37.643172508908378</c:v>
                </c:pt>
                <c:pt idx="266">
                  <c:v>75.356827491091622</c:v>
                </c:pt>
                <c:pt idx="267">
                  <c:v>103.35682749109162</c:v>
                </c:pt>
                <c:pt idx="268">
                  <c:v>-6.6431725089083784</c:v>
                </c:pt>
                <c:pt idx="269">
                  <c:v>-42.643172508908378</c:v>
                </c:pt>
                <c:pt idx="270">
                  <c:v>-28.895578288925094</c:v>
                </c:pt>
                <c:pt idx="271">
                  <c:v>7.3568274910916216</c:v>
                </c:pt>
                <c:pt idx="272">
                  <c:v>-26.643172508908378</c:v>
                </c:pt>
                <c:pt idx="273">
                  <c:v>39.356827491091622</c:v>
                </c:pt>
                <c:pt idx="274">
                  <c:v>48.356827491091622</c:v>
                </c:pt>
                <c:pt idx="275">
                  <c:v>-14.643172508908378</c:v>
                </c:pt>
                <c:pt idx="276">
                  <c:v>-10.643172508908378</c:v>
                </c:pt>
                <c:pt idx="277">
                  <c:v>-1.6431725089083784</c:v>
                </c:pt>
                <c:pt idx="278">
                  <c:v>-14.643172508908378</c:v>
                </c:pt>
                <c:pt idx="279">
                  <c:v>323.35682749109162</c:v>
                </c:pt>
                <c:pt idx="280">
                  <c:v>160.35682749109162</c:v>
                </c:pt>
                <c:pt idx="281">
                  <c:v>3.3568274910916216</c:v>
                </c:pt>
                <c:pt idx="282">
                  <c:v>-30.643172508908378</c:v>
                </c:pt>
                <c:pt idx="283">
                  <c:v>4.3568274910916216</c:v>
                </c:pt>
                <c:pt idx="284">
                  <c:v>33.356827491091622</c:v>
                </c:pt>
                <c:pt idx="285">
                  <c:v>8.3568274910916216</c:v>
                </c:pt>
                <c:pt idx="286">
                  <c:v>-46.643172508908378</c:v>
                </c:pt>
                <c:pt idx="287">
                  <c:v>-48.643172508908378</c:v>
                </c:pt>
                <c:pt idx="288">
                  <c:v>-8.4749019888972157</c:v>
                </c:pt>
                <c:pt idx="289">
                  <c:v>-52.643172508908378</c:v>
                </c:pt>
                <c:pt idx="290">
                  <c:v>-28.643172508908378</c:v>
                </c:pt>
                <c:pt idx="291">
                  <c:v>-53.643172508908378</c:v>
                </c:pt>
                <c:pt idx="292">
                  <c:v>-19.643172508908378</c:v>
                </c:pt>
                <c:pt idx="293">
                  <c:v>-8.6431725089083784</c:v>
                </c:pt>
                <c:pt idx="294">
                  <c:v>-61.643172508908378</c:v>
                </c:pt>
                <c:pt idx="295">
                  <c:v>-11.643172508908378</c:v>
                </c:pt>
                <c:pt idx="296">
                  <c:v>40.356827491091622</c:v>
                </c:pt>
                <c:pt idx="297">
                  <c:v>-68.643172508908378</c:v>
                </c:pt>
                <c:pt idx="298">
                  <c:v>-40.643172508908378</c:v>
                </c:pt>
                <c:pt idx="299">
                  <c:v>43.356827491091622</c:v>
                </c:pt>
                <c:pt idx="300">
                  <c:v>46.356827491091622</c:v>
                </c:pt>
                <c:pt idx="301">
                  <c:v>-15.643172508908378</c:v>
                </c:pt>
                <c:pt idx="302">
                  <c:v>25.356827491091622</c:v>
                </c:pt>
                <c:pt idx="303">
                  <c:v>-4.6431725089083784</c:v>
                </c:pt>
                <c:pt idx="304">
                  <c:v>10.356827491091622</c:v>
                </c:pt>
                <c:pt idx="305">
                  <c:v>15.969805295065981</c:v>
                </c:pt>
                <c:pt idx="306">
                  <c:v>-32.643172508908378</c:v>
                </c:pt>
                <c:pt idx="307">
                  <c:v>12.27269223108604</c:v>
                </c:pt>
                <c:pt idx="308">
                  <c:v>-2.8955782889250941</c:v>
                </c:pt>
                <c:pt idx="309">
                  <c:v>28.356827491091622</c:v>
                </c:pt>
                <c:pt idx="310">
                  <c:v>-16.643172508908378</c:v>
                </c:pt>
                <c:pt idx="311">
                  <c:v>-69.643172508908378</c:v>
                </c:pt>
                <c:pt idx="312">
                  <c:v>-11.643172508908378</c:v>
                </c:pt>
                <c:pt idx="313">
                  <c:v>-16.643172508908378</c:v>
                </c:pt>
                <c:pt idx="314">
                  <c:v>11.356827491091622</c:v>
                </c:pt>
                <c:pt idx="315">
                  <c:v>44.020286451069325</c:v>
                </c:pt>
                <c:pt idx="316">
                  <c:v>-56.643172508908378</c:v>
                </c:pt>
                <c:pt idx="317">
                  <c:v>-96.643172508908378</c:v>
                </c:pt>
                <c:pt idx="318">
                  <c:v>-47.139570542941271</c:v>
                </c:pt>
                <c:pt idx="319">
                  <c:v>-41.643172508908378</c:v>
                </c:pt>
                <c:pt idx="320">
                  <c:v>-14.643172508908378</c:v>
                </c:pt>
                <c:pt idx="321">
                  <c:v>13.356827491091622</c:v>
                </c:pt>
                <c:pt idx="322">
                  <c:v>13.356827491091622</c:v>
                </c:pt>
                <c:pt idx="323">
                  <c:v>-32.643172508908378</c:v>
                </c:pt>
                <c:pt idx="324">
                  <c:v>6.3568274910916216</c:v>
                </c:pt>
                <c:pt idx="325">
                  <c:v>163.35682749109162</c:v>
                </c:pt>
                <c:pt idx="326">
                  <c:v>34.356827491091622</c:v>
                </c:pt>
                <c:pt idx="327">
                  <c:v>-23.643172508908378</c:v>
                </c:pt>
                <c:pt idx="328">
                  <c:v>-101.64317250890838</c:v>
                </c:pt>
                <c:pt idx="329">
                  <c:v>-90.643172508908378</c:v>
                </c:pt>
                <c:pt idx="330">
                  <c:v>8.3568274910916216</c:v>
                </c:pt>
                <c:pt idx="331">
                  <c:v>-17.811443028919513</c:v>
                </c:pt>
                <c:pt idx="332">
                  <c:v>-49.643172508908378</c:v>
                </c:pt>
                <c:pt idx="333">
                  <c:v>25.104421711074906</c:v>
                </c:pt>
                <c:pt idx="334">
                  <c:v>-14.643172508908378</c:v>
                </c:pt>
                <c:pt idx="335">
                  <c:v>50.104421711074906</c:v>
                </c:pt>
                <c:pt idx="336">
                  <c:v>-55.643172508908378</c:v>
                </c:pt>
              </c:numCache>
            </c:numRef>
          </c:yVal>
          <c:smooth val="0"/>
          <c:extLst>
            <c:ext xmlns:c16="http://schemas.microsoft.com/office/drawing/2014/chart" uri="{C3380CC4-5D6E-409C-BE32-E72D297353CC}">
              <c16:uniqueId val="{00000001-CE6A-4748-A5D5-A65FA31C7AB5}"/>
            </c:ext>
          </c:extLst>
        </c:ser>
        <c:dLbls>
          <c:showLegendKey val="0"/>
          <c:showVal val="0"/>
          <c:showCatName val="0"/>
          <c:showSerName val="0"/>
          <c:showPercent val="0"/>
          <c:showBubbleSize val="0"/>
        </c:dLbls>
        <c:axId val="523443680"/>
        <c:axId val="523438280"/>
      </c:scatterChart>
      <c:valAx>
        <c:axId val="523443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438280"/>
        <c:crosses val="autoZero"/>
        <c:crossBetween val="midCat"/>
      </c:valAx>
      <c:valAx>
        <c:axId val="523438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44368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Loan Amount vs Loan Term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train!$J$1</c:f>
              <c:strCache>
                <c:ptCount val="1"/>
                <c:pt idx="0">
                  <c:v>Loan_Amount_Term</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8.5520457198358504E-2"/>
                  <c:y val="-0.3860890956983881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train!$I$3:$I$340</c:f>
              <c:numCache>
                <c:formatCode>General</c:formatCode>
                <c:ptCount val="338"/>
                <c:pt idx="0">
                  <c:v>126</c:v>
                </c:pt>
                <c:pt idx="1">
                  <c:v>208</c:v>
                </c:pt>
                <c:pt idx="2">
                  <c:v>100</c:v>
                </c:pt>
                <c:pt idx="3">
                  <c:v>78</c:v>
                </c:pt>
                <c:pt idx="4">
                  <c:v>152</c:v>
                </c:pt>
                <c:pt idx="5">
                  <c:v>59</c:v>
                </c:pt>
                <c:pt idx="6">
                  <c:v>147</c:v>
                </c:pt>
                <c:pt idx="7">
                  <c:v>280</c:v>
                </c:pt>
                <c:pt idx="8">
                  <c:v>123</c:v>
                </c:pt>
                <c:pt idx="9">
                  <c:v>90</c:v>
                </c:pt>
                <c:pt idx="10">
                  <c:v>162</c:v>
                </c:pt>
                <c:pt idx="11">
                  <c:v>40</c:v>
                </c:pt>
                <c:pt idx="12">
                  <c:v>166</c:v>
                </c:pt>
                <c:pt idx="13">
                  <c:v>124</c:v>
                </c:pt>
                <c:pt idx="14">
                  <c:v>131</c:v>
                </c:pt>
                <c:pt idx="15">
                  <c:v>200</c:v>
                </c:pt>
                <c:pt idx="16">
                  <c:v>126</c:v>
                </c:pt>
                <c:pt idx="17">
                  <c:v>300</c:v>
                </c:pt>
                <c:pt idx="18">
                  <c:v>100</c:v>
                </c:pt>
                <c:pt idx="19">
                  <c:v>48</c:v>
                </c:pt>
                <c:pt idx="20">
                  <c:v>28</c:v>
                </c:pt>
                <c:pt idx="21">
                  <c:v>101</c:v>
                </c:pt>
                <c:pt idx="22">
                  <c:v>125</c:v>
                </c:pt>
                <c:pt idx="23">
                  <c:v>290</c:v>
                </c:pt>
                <c:pt idx="24">
                  <c:v>148</c:v>
                </c:pt>
                <c:pt idx="25">
                  <c:v>140</c:v>
                </c:pt>
                <c:pt idx="26">
                  <c:v>275</c:v>
                </c:pt>
                <c:pt idx="27">
                  <c:v>57</c:v>
                </c:pt>
                <c:pt idx="28">
                  <c:v>125</c:v>
                </c:pt>
                <c:pt idx="29">
                  <c:v>75</c:v>
                </c:pt>
                <c:pt idx="30">
                  <c:v>192</c:v>
                </c:pt>
                <c:pt idx="31">
                  <c:v>152</c:v>
                </c:pt>
                <c:pt idx="32">
                  <c:v>158</c:v>
                </c:pt>
                <c:pt idx="33">
                  <c:v>101</c:v>
                </c:pt>
                <c:pt idx="34">
                  <c:v>176</c:v>
                </c:pt>
                <c:pt idx="35">
                  <c:v>185</c:v>
                </c:pt>
                <c:pt idx="36">
                  <c:v>90</c:v>
                </c:pt>
                <c:pt idx="37">
                  <c:v>116</c:v>
                </c:pt>
                <c:pt idx="38">
                  <c:v>138</c:v>
                </c:pt>
                <c:pt idx="39">
                  <c:v>100</c:v>
                </c:pt>
                <c:pt idx="40">
                  <c:v>110</c:v>
                </c:pt>
                <c:pt idx="41">
                  <c:v>90</c:v>
                </c:pt>
                <c:pt idx="42">
                  <c:v>200</c:v>
                </c:pt>
                <c:pt idx="43">
                  <c:v>84</c:v>
                </c:pt>
                <c:pt idx="44">
                  <c:v>185</c:v>
                </c:pt>
                <c:pt idx="45">
                  <c:v>162</c:v>
                </c:pt>
                <c:pt idx="46">
                  <c:v>108</c:v>
                </c:pt>
                <c:pt idx="47">
                  <c:v>187</c:v>
                </c:pt>
                <c:pt idx="48">
                  <c:v>187</c:v>
                </c:pt>
                <c:pt idx="49">
                  <c:v>124</c:v>
                </c:pt>
                <c:pt idx="50">
                  <c:v>120</c:v>
                </c:pt>
                <c:pt idx="51">
                  <c:v>160</c:v>
                </c:pt>
                <c:pt idx="52">
                  <c:v>30</c:v>
                </c:pt>
                <c:pt idx="53">
                  <c:v>92</c:v>
                </c:pt>
                <c:pt idx="54">
                  <c:v>130</c:v>
                </c:pt>
                <c:pt idx="55">
                  <c:v>130</c:v>
                </c:pt>
                <c:pt idx="56">
                  <c:v>134</c:v>
                </c:pt>
                <c:pt idx="57">
                  <c:v>176</c:v>
                </c:pt>
                <c:pt idx="58">
                  <c:v>90</c:v>
                </c:pt>
                <c:pt idx="59">
                  <c:v>110</c:v>
                </c:pt>
                <c:pt idx="60">
                  <c:v>125</c:v>
                </c:pt>
                <c:pt idx="61">
                  <c:v>189</c:v>
                </c:pt>
                <c:pt idx="62">
                  <c:v>108</c:v>
                </c:pt>
                <c:pt idx="63">
                  <c:v>125</c:v>
                </c:pt>
                <c:pt idx="64">
                  <c:v>138</c:v>
                </c:pt>
                <c:pt idx="65">
                  <c:v>135</c:v>
                </c:pt>
                <c:pt idx="66">
                  <c:v>130</c:v>
                </c:pt>
                <c:pt idx="67">
                  <c:v>187</c:v>
                </c:pt>
                <c:pt idx="68">
                  <c:v>188</c:v>
                </c:pt>
                <c:pt idx="69">
                  <c:v>95</c:v>
                </c:pt>
                <c:pt idx="70">
                  <c:v>65</c:v>
                </c:pt>
                <c:pt idx="71">
                  <c:v>139</c:v>
                </c:pt>
                <c:pt idx="72">
                  <c:v>232</c:v>
                </c:pt>
                <c:pt idx="73">
                  <c:v>144</c:v>
                </c:pt>
                <c:pt idx="74">
                  <c:v>155</c:v>
                </c:pt>
                <c:pt idx="75">
                  <c:v>186</c:v>
                </c:pt>
                <c:pt idx="76">
                  <c:v>50</c:v>
                </c:pt>
                <c:pt idx="77">
                  <c:v>185</c:v>
                </c:pt>
                <c:pt idx="78">
                  <c:v>163</c:v>
                </c:pt>
                <c:pt idx="79">
                  <c:v>360</c:v>
                </c:pt>
                <c:pt idx="80">
                  <c:v>149</c:v>
                </c:pt>
                <c:pt idx="81">
                  <c:v>257</c:v>
                </c:pt>
                <c:pt idx="82">
                  <c:v>131</c:v>
                </c:pt>
                <c:pt idx="83">
                  <c:v>102</c:v>
                </c:pt>
                <c:pt idx="84">
                  <c:v>135</c:v>
                </c:pt>
                <c:pt idx="85">
                  <c:v>95</c:v>
                </c:pt>
                <c:pt idx="86">
                  <c:v>77</c:v>
                </c:pt>
                <c:pt idx="87">
                  <c:v>200</c:v>
                </c:pt>
                <c:pt idx="88">
                  <c:v>130</c:v>
                </c:pt>
                <c:pt idx="89">
                  <c:v>390</c:v>
                </c:pt>
                <c:pt idx="90">
                  <c:v>185</c:v>
                </c:pt>
                <c:pt idx="91">
                  <c:v>100</c:v>
                </c:pt>
                <c:pt idx="92">
                  <c:v>123</c:v>
                </c:pt>
                <c:pt idx="93">
                  <c:v>110</c:v>
                </c:pt>
                <c:pt idx="94">
                  <c:v>256</c:v>
                </c:pt>
                <c:pt idx="95">
                  <c:v>140</c:v>
                </c:pt>
                <c:pt idx="96">
                  <c:v>61</c:v>
                </c:pt>
                <c:pt idx="97">
                  <c:v>188</c:v>
                </c:pt>
                <c:pt idx="98">
                  <c:v>131</c:v>
                </c:pt>
                <c:pt idx="99">
                  <c:v>116</c:v>
                </c:pt>
                <c:pt idx="100">
                  <c:v>50</c:v>
                </c:pt>
                <c:pt idx="101">
                  <c:v>107</c:v>
                </c:pt>
                <c:pt idx="102">
                  <c:v>200</c:v>
                </c:pt>
                <c:pt idx="103">
                  <c:v>119</c:v>
                </c:pt>
                <c:pt idx="104">
                  <c:v>120</c:v>
                </c:pt>
                <c:pt idx="105">
                  <c:v>140</c:v>
                </c:pt>
                <c:pt idx="106">
                  <c:v>165</c:v>
                </c:pt>
                <c:pt idx="107">
                  <c:v>108</c:v>
                </c:pt>
                <c:pt idx="108">
                  <c:v>93</c:v>
                </c:pt>
                <c:pt idx="109">
                  <c:v>102</c:v>
                </c:pt>
                <c:pt idx="110">
                  <c:v>122</c:v>
                </c:pt>
                <c:pt idx="111">
                  <c:v>160</c:v>
                </c:pt>
                <c:pt idx="112">
                  <c:v>157</c:v>
                </c:pt>
                <c:pt idx="113">
                  <c:v>180</c:v>
                </c:pt>
                <c:pt idx="114">
                  <c:v>80</c:v>
                </c:pt>
                <c:pt idx="115">
                  <c:v>104</c:v>
                </c:pt>
                <c:pt idx="116">
                  <c:v>213</c:v>
                </c:pt>
                <c:pt idx="117">
                  <c:v>65</c:v>
                </c:pt>
                <c:pt idx="118">
                  <c:v>146</c:v>
                </c:pt>
                <c:pt idx="119">
                  <c:v>135</c:v>
                </c:pt>
                <c:pt idx="120">
                  <c:v>187</c:v>
                </c:pt>
                <c:pt idx="121">
                  <c:v>300</c:v>
                </c:pt>
                <c:pt idx="122">
                  <c:v>120</c:v>
                </c:pt>
                <c:pt idx="123">
                  <c:v>71</c:v>
                </c:pt>
                <c:pt idx="124">
                  <c:v>225</c:v>
                </c:pt>
                <c:pt idx="125">
                  <c:v>70</c:v>
                </c:pt>
                <c:pt idx="126">
                  <c:v>70</c:v>
                </c:pt>
                <c:pt idx="127">
                  <c:v>124</c:v>
                </c:pt>
                <c:pt idx="128">
                  <c:v>132</c:v>
                </c:pt>
                <c:pt idx="129">
                  <c:v>105</c:v>
                </c:pt>
                <c:pt idx="130">
                  <c:v>90</c:v>
                </c:pt>
                <c:pt idx="131">
                  <c:v>83</c:v>
                </c:pt>
                <c:pt idx="132">
                  <c:v>125</c:v>
                </c:pt>
                <c:pt idx="133">
                  <c:v>147</c:v>
                </c:pt>
                <c:pt idx="134">
                  <c:v>120</c:v>
                </c:pt>
                <c:pt idx="135">
                  <c:v>110</c:v>
                </c:pt>
                <c:pt idx="136">
                  <c:v>103</c:v>
                </c:pt>
                <c:pt idx="137">
                  <c:v>150</c:v>
                </c:pt>
                <c:pt idx="138">
                  <c:v>100</c:v>
                </c:pt>
                <c:pt idx="139">
                  <c:v>139</c:v>
                </c:pt>
                <c:pt idx="140">
                  <c:v>550</c:v>
                </c:pt>
                <c:pt idx="141">
                  <c:v>260</c:v>
                </c:pt>
                <c:pt idx="142">
                  <c:v>150</c:v>
                </c:pt>
                <c:pt idx="143">
                  <c:v>90</c:v>
                </c:pt>
                <c:pt idx="144">
                  <c:v>199</c:v>
                </c:pt>
                <c:pt idx="145">
                  <c:v>139</c:v>
                </c:pt>
                <c:pt idx="146">
                  <c:v>150</c:v>
                </c:pt>
                <c:pt idx="147">
                  <c:v>180</c:v>
                </c:pt>
                <c:pt idx="148">
                  <c:v>113</c:v>
                </c:pt>
                <c:pt idx="149">
                  <c:v>148</c:v>
                </c:pt>
                <c:pt idx="150">
                  <c:v>117</c:v>
                </c:pt>
                <c:pt idx="151">
                  <c:v>72</c:v>
                </c:pt>
                <c:pt idx="152">
                  <c:v>125</c:v>
                </c:pt>
                <c:pt idx="153">
                  <c:v>214</c:v>
                </c:pt>
                <c:pt idx="154">
                  <c:v>133</c:v>
                </c:pt>
                <c:pt idx="155">
                  <c:v>187</c:v>
                </c:pt>
                <c:pt idx="156">
                  <c:v>143</c:v>
                </c:pt>
                <c:pt idx="157">
                  <c:v>209</c:v>
                </c:pt>
                <c:pt idx="158">
                  <c:v>84</c:v>
                </c:pt>
                <c:pt idx="159">
                  <c:v>116</c:v>
                </c:pt>
                <c:pt idx="160">
                  <c:v>65</c:v>
                </c:pt>
                <c:pt idx="161">
                  <c:v>80</c:v>
                </c:pt>
                <c:pt idx="162">
                  <c:v>170</c:v>
                </c:pt>
                <c:pt idx="163">
                  <c:v>120</c:v>
                </c:pt>
                <c:pt idx="164">
                  <c:v>135</c:v>
                </c:pt>
                <c:pt idx="165">
                  <c:v>94</c:v>
                </c:pt>
                <c:pt idx="166">
                  <c:v>79</c:v>
                </c:pt>
                <c:pt idx="167">
                  <c:v>110</c:v>
                </c:pt>
                <c:pt idx="168">
                  <c:v>130</c:v>
                </c:pt>
                <c:pt idx="169">
                  <c:v>143</c:v>
                </c:pt>
                <c:pt idx="170">
                  <c:v>159</c:v>
                </c:pt>
                <c:pt idx="171">
                  <c:v>110</c:v>
                </c:pt>
                <c:pt idx="172">
                  <c:v>160</c:v>
                </c:pt>
                <c:pt idx="173">
                  <c:v>131</c:v>
                </c:pt>
                <c:pt idx="174">
                  <c:v>65</c:v>
                </c:pt>
                <c:pt idx="175">
                  <c:v>143</c:v>
                </c:pt>
                <c:pt idx="176">
                  <c:v>187</c:v>
                </c:pt>
                <c:pt idx="177">
                  <c:v>160</c:v>
                </c:pt>
                <c:pt idx="178">
                  <c:v>165</c:v>
                </c:pt>
                <c:pt idx="179">
                  <c:v>110</c:v>
                </c:pt>
                <c:pt idx="180">
                  <c:v>173</c:v>
                </c:pt>
                <c:pt idx="181">
                  <c:v>150</c:v>
                </c:pt>
                <c:pt idx="182">
                  <c:v>135</c:v>
                </c:pt>
                <c:pt idx="183">
                  <c:v>150</c:v>
                </c:pt>
                <c:pt idx="184">
                  <c:v>235</c:v>
                </c:pt>
                <c:pt idx="185">
                  <c:v>336</c:v>
                </c:pt>
                <c:pt idx="186">
                  <c:v>132</c:v>
                </c:pt>
                <c:pt idx="187">
                  <c:v>96</c:v>
                </c:pt>
                <c:pt idx="188">
                  <c:v>180</c:v>
                </c:pt>
                <c:pt idx="189">
                  <c:v>128</c:v>
                </c:pt>
                <c:pt idx="190">
                  <c:v>412</c:v>
                </c:pt>
                <c:pt idx="191">
                  <c:v>116</c:v>
                </c:pt>
                <c:pt idx="192">
                  <c:v>114</c:v>
                </c:pt>
                <c:pt idx="193">
                  <c:v>115</c:v>
                </c:pt>
                <c:pt idx="194">
                  <c:v>104</c:v>
                </c:pt>
                <c:pt idx="195">
                  <c:v>88</c:v>
                </c:pt>
                <c:pt idx="196">
                  <c:v>108</c:v>
                </c:pt>
                <c:pt idx="197">
                  <c:v>90</c:v>
                </c:pt>
                <c:pt idx="198">
                  <c:v>100</c:v>
                </c:pt>
                <c:pt idx="199">
                  <c:v>108</c:v>
                </c:pt>
                <c:pt idx="200">
                  <c:v>78</c:v>
                </c:pt>
                <c:pt idx="201">
                  <c:v>123</c:v>
                </c:pt>
                <c:pt idx="202">
                  <c:v>187</c:v>
                </c:pt>
                <c:pt idx="203">
                  <c:v>146</c:v>
                </c:pt>
                <c:pt idx="204">
                  <c:v>80</c:v>
                </c:pt>
                <c:pt idx="205">
                  <c:v>100</c:v>
                </c:pt>
                <c:pt idx="206">
                  <c:v>55</c:v>
                </c:pt>
                <c:pt idx="207">
                  <c:v>200</c:v>
                </c:pt>
                <c:pt idx="208">
                  <c:v>150</c:v>
                </c:pt>
                <c:pt idx="209">
                  <c:v>150</c:v>
                </c:pt>
                <c:pt idx="210">
                  <c:v>118</c:v>
                </c:pt>
                <c:pt idx="211">
                  <c:v>150</c:v>
                </c:pt>
                <c:pt idx="212">
                  <c:v>118</c:v>
                </c:pt>
                <c:pt idx="213">
                  <c:v>212</c:v>
                </c:pt>
                <c:pt idx="214">
                  <c:v>212</c:v>
                </c:pt>
                <c:pt idx="215">
                  <c:v>125</c:v>
                </c:pt>
                <c:pt idx="216">
                  <c:v>108</c:v>
                </c:pt>
                <c:pt idx="217">
                  <c:v>149</c:v>
                </c:pt>
                <c:pt idx="218">
                  <c:v>80</c:v>
                </c:pt>
                <c:pt idx="219">
                  <c:v>152</c:v>
                </c:pt>
                <c:pt idx="220">
                  <c:v>187</c:v>
                </c:pt>
                <c:pt idx="221">
                  <c:v>74</c:v>
                </c:pt>
                <c:pt idx="222">
                  <c:v>102</c:v>
                </c:pt>
                <c:pt idx="223">
                  <c:v>100</c:v>
                </c:pt>
                <c:pt idx="224">
                  <c:v>130</c:v>
                </c:pt>
                <c:pt idx="225">
                  <c:v>125</c:v>
                </c:pt>
                <c:pt idx="226">
                  <c:v>130</c:v>
                </c:pt>
                <c:pt idx="227">
                  <c:v>138</c:v>
                </c:pt>
                <c:pt idx="228">
                  <c:v>28</c:v>
                </c:pt>
                <c:pt idx="229">
                  <c:v>92</c:v>
                </c:pt>
                <c:pt idx="230">
                  <c:v>104</c:v>
                </c:pt>
                <c:pt idx="231">
                  <c:v>176</c:v>
                </c:pt>
                <c:pt idx="232">
                  <c:v>117</c:v>
                </c:pt>
                <c:pt idx="233">
                  <c:v>102</c:v>
                </c:pt>
                <c:pt idx="234">
                  <c:v>107</c:v>
                </c:pt>
                <c:pt idx="235">
                  <c:v>66</c:v>
                </c:pt>
                <c:pt idx="236">
                  <c:v>105</c:v>
                </c:pt>
                <c:pt idx="237">
                  <c:v>105</c:v>
                </c:pt>
                <c:pt idx="238">
                  <c:v>105</c:v>
                </c:pt>
                <c:pt idx="239">
                  <c:v>125</c:v>
                </c:pt>
                <c:pt idx="240">
                  <c:v>64</c:v>
                </c:pt>
                <c:pt idx="241">
                  <c:v>150</c:v>
                </c:pt>
                <c:pt idx="242">
                  <c:v>150</c:v>
                </c:pt>
                <c:pt idx="243">
                  <c:v>64</c:v>
                </c:pt>
                <c:pt idx="244">
                  <c:v>40</c:v>
                </c:pt>
                <c:pt idx="245">
                  <c:v>142</c:v>
                </c:pt>
                <c:pt idx="246">
                  <c:v>70</c:v>
                </c:pt>
                <c:pt idx="247">
                  <c:v>131</c:v>
                </c:pt>
                <c:pt idx="248">
                  <c:v>120</c:v>
                </c:pt>
                <c:pt idx="249">
                  <c:v>114</c:v>
                </c:pt>
                <c:pt idx="250">
                  <c:v>123</c:v>
                </c:pt>
                <c:pt idx="251">
                  <c:v>92</c:v>
                </c:pt>
                <c:pt idx="252">
                  <c:v>160</c:v>
                </c:pt>
                <c:pt idx="253">
                  <c:v>151</c:v>
                </c:pt>
                <c:pt idx="254">
                  <c:v>81</c:v>
                </c:pt>
                <c:pt idx="255">
                  <c:v>171</c:v>
                </c:pt>
                <c:pt idx="256">
                  <c:v>110</c:v>
                </c:pt>
                <c:pt idx="257">
                  <c:v>100</c:v>
                </c:pt>
                <c:pt idx="258">
                  <c:v>234</c:v>
                </c:pt>
                <c:pt idx="259">
                  <c:v>184</c:v>
                </c:pt>
                <c:pt idx="260">
                  <c:v>138</c:v>
                </c:pt>
                <c:pt idx="261">
                  <c:v>112</c:v>
                </c:pt>
                <c:pt idx="262">
                  <c:v>117</c:v>
                </c:pt>
                <c:pt idx="263">
                  <c:v>49</c:v>
                </c:pt>
                <c:pt idx="264">
                  <c:v>99</c:v>
                </c:pt>
                <c:pt idx="265">
                  <c:v>99</c:v>
                </c:pt>
                <c:pt idx="266">
                  <c:v>212</c:v>
                </c:pt>
                <c:pt idx="267">
                  <c:v>240</c:v>
                </c:pt>
                <c:pt idx="268">
                  <c:v>130</c:v>
                </c:pt>
                <c:pt idx="269">
                  <c:v>94</c:v>
                </c:pt>
                <c:pt idx="270">
                  <c:v>108</c:v>
                </c:pt>
                <c:pt idx="271">
                  <c:v>144</c:v>
                </c:pt>
                <c:pt idx="272">
                  <c:v>110</c:v>
                </c:pt>
                <c:pt idx="273">
                  <c:v>176</c:v>
                </c:pt>
                <c:pt idx="274">
                  <c:v>185</c:v>
                </c:pt>
                <c:pt idx="275">
                  <c:v>122</c:v>
                </c:pt>
                <c:pt idx="276">
                  <c:v>126</c:v>
                </c:pt>
                <c:pt idx="277">
                  <c:v>135</c:v>
                </c:pt>
                <c:pt idx="278">
                  <c:v>122</c:v>
                </c:pt>
                <c:pt idx="279">
                  <c:v>460</c:v>
                </c:pt>
                <c:pt idx="280">
                  <c:v>297</c:v>
                </c:pt>
                <c:pt idx="281">
                  <c:v>140</c:v>
                </c:pt>
                <c:pt idx="282">
                  <c:v>106</c:v>
                </c:pt>
                <c:pt idx="283">
                  <c:v>141</c:v>
                </c:pt>
                <c:pt idx="284">
                  <c:v>170</c:v>
                </c:pt>
                <c:pt idx="285">
                  <c:v>145</c:v>
                </c:pt>
                <c:pt idx="286">
                  <c:v>90</c:v>
                </c:pt>
                <c:pt idx="287">
                  <c:v>88</c:v>
                </c:pt>
                <c:pt idx="288">
                  <c:v>128</c:v>
                </c:pt>
                <c:pt idx="289">
                  <c:v>84</c:v>
                </c:pt>
                <c:pt idx="290">
                  <c:v>108</c:v>
                </c:pt>
                <c:pt idx="291">
                  <c:v>83</c:v>
                </c:pt>
                <c:pt idx="292">
                  <c:v>117</c:v>
                </c:pt>
                <c:pt idx="293">
                  <c:v>128</c:v>
                </c:pt>
                <c:pt idx="294">
                  <c:v>75</c:v>
                </c:pt>
                <c:pt idx="295">
                  <c:v>125</c:v>
                </c:pt>
                <c:pt idx="296">
                  <c:v>177</c:v>
                </c:pt>
                <c:pt idx="297">
                  <c:v>68</c:v>
                </c:pt>
                <c:pt idx="298">
                  <c:v>96</c:v>
                </c:pt>
                <c:pt idx="299">
                  <c:v>180</c:v>
                </c:pt>
                <c:pt idx="300">
                  <c:v>183</c:v>
                </c:pt>
                <c:pt idx="301">
                  <c:v>121</c:v>
                </c:pt>
                <c:pt idx="302">
                  <c:v>162</c:v>
                </c:pt>
                <c:pt idx="303">
                  <c:v>132</c:v>
                </c:pt>
                <c:pt idx="304">
                  <c:v>147</c:v>
                </c:pt>
                <c:pt idx="305">
                  <c:v>153</c:v>
                </c:pt>
                <c:pt idx="306">
                  <c:v>104</c:v>
                </c:pt>
                <c:pt idx="307">
                  <c:v>149</c:v>
                </c:pt>
                <c:pt idx="308">
                  <c:v>134</c:v>
                </c:pt>
                <c:pt idx="309">
                  <c:v>165</c:v>
                </c:pt>
                <c:pt idx="310">
                  <c:v>120</c:v>
                </c:pt>
                <c:pt idx="311">
                  <c:v>67</c:v>
                </c:pt>
                <c:pt idx="312">
                  <c:v>125</c:v>
                </c:pt>
                <c:pt idx="313">
                  <c:v>120</c:v>
                </c:pt>
                <c:pt idx="314">
                  <c:v>148</c:v>
                </c:pt>
                <c:pt idx="315">
                  <c:v>181</c:v>
                </c:pt>
                <c:pt idx="316">
                  <c:v>80</c:v>
                </c:pt>
                <c:pt idx="317">
                  <c:v>40</c:v>
                </c:pt>
                <c:pt idx="318">
                  <c:v>90</c:v>
                </c:pt>
                <c:pt idx="319">
                  <c:v>95</c:v>
                </c:pt>
                <c:pt idx="320">
                  <c:v>122</c:v>
                </c:pt>
                <c:pt idx="321">
                  <c:v>150</c:v>
                </c:pt>
                <c:pt idx="322">
                  <c:v>150</c:v>
                </c:pt>
                <c:pt idx="323">
                  <c:v>104</c:v>
                </c:pt>
                <c:pt idx="324">
                  <c:v>143</c:v>
                </c:pt>
                <c:pt idx="325">
                  <c:v>300</c:v>
                </c:pt>
                <c:pt idx="326">
                  <c:v>171</c:v>
                </c:pt>
                <c:pt idx="327">
                  <c:v>113</c:v>
                </c:pt>
                <c:pt idx="328">
                  <c:v>35</c:v>
                </c:pt>
                <c:pt idx="329">
                  <c:v>46</c:v>
                </c:pt>
                <c:pt idx="330">
                  <c:v>145</c:v>
                </c:pt>
                <c:pt idx="331">
                  <c:v>119</c:v>
                </c:pt>
                <c:pt idx="332">
                  <c:v>87</c:v>
                </c:pt>
                <c:pt idx="333">
                  <c:v>162</c:v>
                </c:pt>
                <c:pt idx="334">
                  <c:v>122</c:v>
                </c:pt>
                <c:pt idx="335">
                  <c:v>187</c:v>
                </c:pt>
                <c:pt idx="336">
                  <c:v>81</c:v>
                </c:pt>
              </c:numCache>
            </c:numRef>
          </c:xVal>
          <c:yVal>
            <c:numRef>
              <c:f>train!$J$3:$J$340</c:f>
              <c:numCache>
                <c:formatCode>General</c:formatCode>
                <c:ptCount val="338"/>
                <c:pt idx="0">
                  <c:v>360</c:v>
                </c:pt>
                <c:pt idx="1">
                  <c:v>360</c:v>
                </c:pt>
                <c:pt idx="2">
                  <c:v>360</c:v>
                </c:pt>
                <c:pt idx="3">
                  <c:v>360</c:v>
                </c:pt>
                <c:pt idx="4">
                  <c:v>360</c:v>
                </c:pt>
                <c:pt idx="5">
                  <c:v>360</c:v>
                </c:pt>
                <c:pt idx="6">
                  <c:v>360</c:v>
                </c:pt>
                <c:pt idx="7">
                  <c:v>240</c:v>
                </c:pt>
                <c:pt idx="8">
                  <c:v>360</c:v>
                </c:pt>
                <c:pt idx="9">
                  <c:v>360</c:v>
                </c:pt>
                <c:pt idx="10">
                  <c:v>360</c:v>
                </c:pt>
                <c:pt idx="11">
                  <c:v>180</c:v>
                </c:pt>
                <c:pt idx="12">
                  <c:v>360</c:v>
                </c:pt>
                <c:pt idx="13">
                  <c:v>360</c:v>
                </c:pt>
                <c:pt idx="14">
                  <c:v>360</c:v>
                </c:pt>
                <c:pt idx="15">
                  <c:v>360</c:v>
                </c:pt>
                <c:pt idx="16">
                  <c:v>360</c:v>
                </c:pt>
                <c:pt idx="17">
                  <c:v>360</c:v>
                </c:pt>
                <c:pt idx="18">
                  <c:v>180</c:v>
                </c:pt>
                <c:pt idx="19">
                  <c:v>360</c:v>
                </c:pt>
                <c:pt idx="20">
                  <c:v>180</c:v>
                </c:pt>
                <c:pt idx="21">
                  <c:v>360</c:v>
                </c:pt>
                <c:pt idx="22">
                  <c:v>360</c:v>
                </c:pt>
                <c:pt idx="23">
                  <c:v>360</c:v>
                </c:pt>
                <c:pt idx="24">
                  <c:v>360</c:v>
                </c:pt>
                <c:pt idx="25">
                  <c:v>360</c:v>
                </c:pt>
                <c:pt idx="26">
                  <c:v>360</c:v>
                </c:pt>
                <c:pt idx="27">
                  <c:v>360</c:v>
                </c:pt>
                <c:pt idx="28">
                  <c:v>180</c:v>
                </c:pt>
                <c:pt idx="29">
                  <c:v>360</c:v>
                </c:pt>
                <c:pt idx="30">
                  <c:v>360</c:v>
                </c:pt>
                <c:pt idx="31">
                  <c:v>360</c:v>
                </c:pt>
                <c:pt idx="32">
                  <c:v>360</c:v>
                </c:pt>
                <c:pt idx="33">
                  <c:v>360</c:v>
                </c:pt>
                <c:pt idx="34">
                  <c:v>360</c:v>
                </c:pt>
                <c:pt idx="35">
                  <c:v>180</c:v>
                </c:pt>
                <c:pt idx="36">
                  <c:v>360</c:v>
                </c:pt>
                <c:pt idx="37">
                  <c:v>360</c:v>
                </c:pt>
                <c:pt idx="38">
                  <c:v>360</c:v>
                </c:pt>
                <c:pt idx="39">
                  <c:v>360</c:v>
                </c:pt>
                <c:pt idx="40">
                  <c:v>360</c:v>
                </c:pt>
                <c:pt idx="41">
                  <c:v>360</c:v>
                </c:pt>
                <c:pt idx="42">
                  <c:v>360</c:v>
                </c:pt>
                <c:pt idx="43">
                  <c:v>360</c:v>
                </c:pt>
                <c:pt idx="44">
                  <c:v>360</c:v>
                </c:pt>
                <c:pt idx="45">
                  <c:v>360</c:v>
                </c:pt>
                <c:pt idx="46">
                  <c:v>360</c:v>
                </c:pt>
                <c:pt idx="47">
                  <c:v>360</c:v>
                </c:pt>
                <c:pt idx="48">
                  <c:v>360</c:v>
                </c:pt>
                <c:pt idx="49">
                  <c:v>360</c:v>
                </c:pt>
                <c:pt idx="50">
                  <c:v>180</c:v>
                </c:pt>
                <c:pt idx="51">
                  <c:v>360</c:v>
                </c:pt>
                <c:pt idx="52">
                  <c:v>360</c:v>
                </c:pt>
                <c:pt idx="53">
                  <c:v>360</c:v>
                </c:pt>
                <c:pt idx="54">
                  <c:v>180</c:v>
                </c:pt>
                <c:pt idx="55">
                  <c:v>360</c:v>
                </c:pt>
                <c:pt idx="56">
                  <c:v>180</c:v>
                </c:pt>
                <c:pt idx="57">
                  <c:v>360</c:v>
                </c:pt>
                <c:pt idx="58">
                  <c:v>360</c:v>
                </c:pt>
                <c:pt idx="59">
                  <c:v>360</c:v>
                </c:pt>
                <c:pt idx="60">
                  <c:v>360</c:v>
                </c:pt>
                <c:pt idx="61">
                  <c:v>360</c:v>
                </c:pt>
                <c:pt idx="62">
                  <c:v>360</c:v>
                </c:pt>
                <c:pt idx="63">
                  <c:v>360</c:v>
                </c:pt>
                <c:pt idx="64">
                  <c:v>360</c:v>
                </c:pt>
                <c:pt idx="65">
                  <c:v>360</c:v>
                </c:pt>
                <c:pt idx="66">
                  <c:v>360</c:v>
                </c:pt>
                <c:pt idx="67">
                  <c:v>360</c:v>
                </c:pt>
                <c:pt idx="68">
                  <c:v>360</c:v>
                </c:pt>
                <c:pt idx="69">
                  <c:v>60</c:v>
                </c:pt>
                <c:pt idx="70">
                  <c:v>360</c:v>
                </c:pt>
                <c:pt idx="71">
                  <c:v>360</c:v>
                </c:pt>
                <c:pt idx="72">
                  <c:v>360</c:v>
                </c:pt>
                <c:pt idx="73">
                  <c:v>360</c:v>
                </c:pt>
                <c:pt idx="74">
                  <c:v>360</c:v>
                </c:pt>
                <c:pt idx="75">
                  <c:v>360</c:v>
                </c:pt>
                <c:pt idx="76">
                  <c:v>360</c:v>
                </c:pt>
                <c:pt idx="77">
                  <c:v>360</c:v>
                </c:pt>
                <c:pt idx="78">
                  <c:v>360</c:v>
                </c:pt>
                <c:pt idx="79">
                  <c:v>480</c:v>
                </c:pt>
                <c:pt idx="80">
                  <c:v>360</c:v>
                </c:pt>
                <c:pt idx="81">
                  <c:v>180</c:v>
                </c:pt>
                <c:pt idx="82">
                  <c:v>180</c:v>
                </c:pt>
                <c:pt idx="83">
                  <c:v>360</c:v>
                </c:pt>
                <c:pt idx="84">
                  <c:v>360</c:v>
                </c:pt>
                <c:pt idx="85">
                  <c:v>360</c:v>
                </c:pt>
                <c:pt idx="86">
                  <c:v>360</c:v>
                </c:pt>
                <c:pt idx="87">
                  <c:v>360</c:v>
                </c:pt>
                <c:pt idx="88">
                  <c:v>360</c:v>
                </c:pt>
                <c:pt idx="89">
                  <c:v>360</c:v>
                </c:pt>
                <c:pt idx="90">
                  <c:v>360</c:v>
                </c:pt>
                <c:pt idx="91">
                  <c:v>360</c:v>
                </c:pt>
                <c:pt idx="92">
                  <c:v>360</c:v>
                </c:pt>
                <c:pt idx="93">
                  <c:v>360</c:v>
                </c:pt>
                <c:pt idx="94">
                  <c:v>360</c:v>
                </c:pt>
                <c:pt idx="95">
                  <c:v>360</c:v>
                </c:pt>
                <c:pt idx="96">
                  <c:v>360</c:v>
                </c:pt>
                <c:pt idx="97">
                  <c:v>360</c:v>
                </c:pt>
                <c:pt idx="98">
                  <c:v>480</c:v>
                </c:pt>
                <c:pt idx="99">
                  <c:v>360</c:v>
                </c:pt>
                <c:pt idx="100">
                  <c:v>180</c:v>
                </c:pt>
                <c:pt idx="101">
                  <c:v>360</c:v>
                </c:pt>
                <c:pt idx="102">
                  <c:v>360</c:v>
                </c:pt>
                <c:pt idx="103">
                  <c:v>360</c:v>
                </c:pt>
                <c:pt idx="104">
                  <c:v>360</c:v>
                </c:pt>
                <c:pt idx="105">
                  <c:v>360</c:v>
                </c:pt>
                <c:pt idx="106">
                  <c:v>360</c:v>
                </c:pt>
                <c:pt idx="107">
                  <c:v>360</c:v>
                </c:pt>
                <c:pt idx="108">
                  <c:v>360</c:v>
                </c:pt>
                <c:pt idx="109">
                  <c:v>360</c:v>
                </c:pt>
                <c:pt idx="110">
                  <c:v>360</c:v>
                </c:pt>
                <c:pt idx="111">
                  <c:v>360</c:v>
                </c:pt>
                <c:pt idx="112">
                  <c:v>360</c:v>
                </c:pt>
                <c:pt idx="113">
                  <c:v>360</c:v>
                </c:pt>
                <c:pt idx="114">
                  <c:v>360</c:v>
                </c:pt>
                <c:pt idx="115">
                  <c:v>360</c:v>
                </c:pt>
                <c:pt idx="116">
                  <c:v>360</c:v>
                </c:pt>
                <c:pt idx="117">
                  <c:v>360</c:v>
                </c:pt>
                <c:pt idx="118">
                  <c:v>360</c:v>
                </c:pt>
                <c:pt idx="119">
                  <c:v>360</c:v>
                </c:pt>
                <c:pt idx="120">
                  <c:v>360</c:v>
                </c:pt>
                <c:pt idx="121">
                  <c:v>360</c:v>
                </c:pt>
                <c:pt idx="122">
                  <c:v>360</c:v>
                </c:pt>
                <c:pt idx="123">
                  <c:v>360</c:v>
                </c:pt>
                <c:pt idx="124">
                  <c:v>180</c:v>
                </c:pt>
                <c:pt idx="125">
                  <c:v>360</c:v>
                </c:pt>
                <c:pt idx="126">
                  <c:v>360</c:v>
                </c:pt>
                <c:pt idx="127">
                  <c:v>360</c:v>
                </c:pt>
                <c:pt idx="128">
                  <c:v>360</c:v>
                </c:pt>
                <c:pt idx="129">
                  <c:v>84</c:v>
                </c:pt>
                <c:pt idx="130">
                  <c:v>360</c:v>
                </c:pt>
                <c:pt idx="131">
                  <c:v>360</c:v>
                </c:pt>
                <c:pt idx="132">
                  <c:v>360</c:v>
                </c:pt>
                <c:pt idx="133">
                  <c:v>360</c:v>
                </c:pt>
                <c:pt idx="134">
                  <c:v>360</c:v>
                </c:pt>
                <c:pt idx="135">
                  <c:v>360</c:v>
                </c:pt>
                <c:pt idx="136">
                  <c:v>240</c:v>
                </c:pt>
                <c:pt idx="137">
                  <c:v>360</c:v>
                </c:pt>
                <c:pt idx="138">
                  <c:v>360</c:v>
                </c:pt>
                <c:pt idx="139">
                  <c:v>12</c:v>
                </c:pt>
                <c:pt idx="140">
                  <c:v>300</c:v>
                </c:pt>
                <c:pt idx="141">
                  <c:v>360</c:v>
                </c:pt>
                <c:pt idx="142">
                  <c:v>360</c:v>
                </c:pt>
                <c:pt idx="143">
                  <c:v>360</c:v>
                </c:pt>
                <c:pt idx="144">
                  <c:v>360</c:v>
                </c:pt>
                <c:pt idx="145">
                  <c:v>360</c:v>
                </c:pt>
                <c:pt idx="146">
                  <c:v>360</c:v>
                </c:pt>
                <c:pt idx="147">
                  <c:v>360</c:v>
                </c:pt>
                <c:pt idx="148">
                  <c:v>360</c:v>
                </c:pt>
                <c:pt idx="149">
                  <c:v>360</c:v>
                </c:pt>
                <c:pt idx="150">
                  <c:v>300</c:v>
                </c:pt>
                <c:pt idx="151">
                  <c:v>360</c:v>
                </c:pt>
                <c:pt idx="152">
                  <c:v>350</c:v>
                </c:pt>
                <c:pt idx="153">
                  <c:v>360</c:v>
                </c:pt>
                <c:pt idx="154">
                  <c:v>360</c:v>
                </c:pt>
                <c:pt idx="155">
                  <c:v>360</c:v>
                </c:pt>
                <c:pt idx="156">
                  <c:v>360</c:v>
                </c:pt>
                <c:pt idx="157">
                  <c:v>360</c:v>
                </c:pt>
                <c:pt idx="158">
                  <c:v>360</c:v>
                </c:pt>
                <c:pt idx="159">
                  <c:v>240</c:v>
                </c:pt>
                <c:pt idx="160">
                  <c:v>360</c:v>
                </c:pt>
                <c:pt idx="161">
                  <c:v>360</c:v>
                </c:pt>
                <c:pt idx="162">
                  <c:v>360</c:v>
                </c:pt>
                <c:pt idx="163">
                  <c:v>360</c:v>
                </c:pt>
                <c:pt idx="164">
                  <c:v>360</c:v>
                </c:pt>
                <c:pt idx="165">
                  <c:v>360</c:v>
                </c:pt>
                <c:pt idx="166">
                  <c:v>360</c:v>
                </c:pt>
                <c:pt idx="167">
                  <c:v>360</c:v>
                </c:pt>
                <c:pt idx="168">
                  <c:v>180</c:v>
                </c:pt>
                <c:pt idx="169">
                  <c:v>360</c:v>
                </c:pt>
                <c:pt idx="170">
                  <c:v>360</c:v>
                </c:pt>
                <c:pt idx="171">
                  <c:v>360</c:v>
                </c:pt>
                <c:pt idx="172">
                  <c:v>360</c:v>
                </c:pt>
                <c:pt idx="173">
                  <c:v>360</c:v>
                </c:pt>
                <c:pt idx="174">
                  <c:v>360</c:v>
                </c:pt>
                <c:pt idx="175">
                  <c:v>360</c:v>
                </c:pt>
                <c:pt idx="176">
                  <c:v>360</c:v>
                </c:pt>
                <c:pt idx="177">
                  <c:v>360</c:v>
                </c:pt>
                <c:pt idx="178">
                  <c:v>360</c:v>
                </c:pt>
                <c:pt idx="179">
                  <c:v>360</c:v>
                </c:pt>
                <c:pt idx="180">
                  <c:v>360</c:v>
                </c:pt>
                <c:pt idx="181">
                  <c:v>360</c:v>
                </c:pt>
                <c:pt idx="182">
                  <c:v>360</c:v>
                </c:pt>
                <c:pt idx="183">
                  <c:v>360</c:v>
                </c:pt>
                <c:pt idx="184">
                  <c:v>84</c:v>
                </c:pt>
                <c:pt idx="185">
                  <c:v>360</c:v>
                </c:pt>
                <c:pt idx="186">
                  <c:v>360</c:v>
                </c:pt>
                <c:pt idx="187">
                  <c:v>360</c:v>
                </c:pt>
                <c:pt idx="188">
                  <c:v>360</c:v>
                </c:pt>
                <c:pt idx="189">
                  <c:v>360</c:v>
                </c:pt>
                <c:pt idx="190">
                  <c:v>360</c:v>
                </c:pt>
                <c:pt idx="191">
                  <c:v>360</c:v>
                </c:pt>
                <c:pt idx="192">
                  <c:v>360</c:v>
                </c:pt>
                <c:pt idx="193">
                  <c:v>360</c:v>
                </c:pt>
                <c:pt idx="194">
                  <c:v>480</c:v>
                </c:pt>
                <c:pt idx="195">
                  <c:v>360</c:v>
                </c:pt>
                <c:pt idx="196">
                  <c:v>360</c:v>
                </c:pt>
                <c:pt idx="197">
                  <c:v>360</c:v>
                </c:pt>
                <c:pt idx="198">
                  <c:v>360</c:v>
                </c:pt>
                <c:pt idx="199">
                  <c:v>360</c:v>
                </c:pt>
                <c:pt idx="200">
                  <c:v>360</c:v>
                </c:pt>
                <c:pt idx="201">
                  <c:v>360</c:v>
                </c:pt>
                <c:pt idx="202">
                  <c:v>360</c:v>
                </c:pt>
                <c:pt idx="203">
                  <c:v>360</c:v>
                </c:pt>
                <c:pt idx="204">
                  <c:v>360</c:v>
                </c:pt>
                <c:pt idx="205">
                  <c:v>360</c:v>
                </c:pt>
                <c:pt idx="206">
                  <c:v>360</c:v>
                </c:pt>
                <c:pt idx="207">
                  <c:v>360</c:v>
                </c:pt>
                <c:pt idx="208">
                  <c:v>300</c:v>
                </c:pt>
                <c:pt idx="209">
                  <c:v>36</c:v>
                </c:pt>
                <c:pt idx="210">
                  <c:v>360</c:v>
                </c:pt>
                <c:pt idx="211">
                  <c:v>360</c:v>
                </c:pt>
                <c:pt idx="212">
                  <c:v>360</c:v>
                </c:pt>
                <c:pt idx="213">
                  <c:v>360</c:v>
                </c:pt>
                <c:pt idx="214">
                  <c:v>360</c:v>
                </c:pt>
                <c:pt idx="215">
                  <c:v>480</c:v>
                </c:pt>
                <c:pt idx="216">
                  <c:v>300</c:v>
                </c:pt>
                <c:pt idx="217">
                  <c:v>360</c:v>
                </c:pt>
                <c:pt idx="218">
                  <c:v>360</c:v>
                </c:pt>
                <c:pt idx="219">
                  <c:v>360</c:v>
                </c:pt>
                <c:pt idx="220">
                  <c:v>360</c:v>
                </c:pt>
                <c:pt idx="221">
                  <c:v>360</c:v>
                </c:pt>
                <c:pt idx="222">
                  <c:v>360</c:v>
                </c:pt>
                <c:pt idx="223">
                  <c:v>360</c:v>
                </c:pt>
                <c:pt idx="224">
                  <c:v>360</c:v>
                </c:pt>
                <c:pt idx="225">
                  <c:v>180</c:v>
                </c:pt>
                <c:pt idx="226">
                  <c:v>360</c:v>
                </c:pt>
                <c:pt idx="227">
                  <c:v>360</c:v>
                </c:pt>
                <c:pt idx="228">
                  <c:v>360</c:v>
                </c:pt>
                <c:pt idx="229">
                  <c:v>360</c:v>
                </c:pt>
                <c:pt idx="230">
                  <c:v>360</c:v>
                </c:pt>
                <c:pt idx="231">
                  <c:v>360</c:v>
                </c:pt>
                <c:pt idx="232">
                  <c:v>480</c:v>
                </c:pt>
                <c:pt idx="233">
                  <c:v>360</c:v>
                </c:pt>
                <c:pt idx="234">
                  <c:v>360</c:v>
                </c:pt>
                <c:pt idx="235">
                  <c:v>360</c:v>
                </c:pt>
                <c:pt idx="236">
                  <c:v>360</c:v>
                </c:pt>
                <c:pt idx="237">
                  <c:v>360</c:v>
                </c:pt>
                <c:pt idx="238">
                  <c:v>180</c:v>
                </c:pt>
                <c:pt idx="239">
                  <c:v>360</c:v>
                </c:pt>
                <c:pt idx="240">
                  <c:v>360</c:v>
                </c:pt>
                <c:pt idx="241">
                  <c:v>360</c:v>
                </c:pt>
                <c:pt idx="242">
                  <c:v>180</c:v>
                </c:pt>
                <c:pt idx="243">
                  <c:v>480</c:v>
                </c:pt>
                <c:pt idx="244">
                  <c:v>300</c:v>
                </c:pt>
                <c:pt idx="245">
                  <c:v>360</c:v>
                </c:pt>
                <c:pt idx="246">
                  <c:v>360</c:v>
                </c:pt>
                <c:pt idx="247">
                  <c:v>360</c:v>
                </c:pt>
                <c:pt idx="248">
                  <c:v>360</c:v>
                </c:pt>
                <c:pt idx="249">
                  <c:v>360</c:v>
                </c:pt>
                <c:pt idx="250">
                  <c:v>360</c:v>
                </c:pt>
                <c:pt idx="251">
                  <c:v>360</c:v>
                </c:pt>
                <c:pt idx="252">
                  <c:v>360</c:v>
                </c:pt>
                <c:pt idx="253">
                  <c:v>360</c:v>
                </c:pt>
                <c:pt idx="254">
                  <c:v>360</c:v>
                </c:pt>
                <c:pt idx="255">
                  <c:v>360</c:v>
                </c:pt>
                <c:pt idx="256">
                  <c:v>360</c:v>
                </c:pt>
                <c:pt idx="257">
                  <c:v>360</c:v>
                </c:pt>
                <c:pt idx="258">
                  <c:v>360</c:v>
                </c:pt>
                <c:pt idx="259">
                  <c:v>480</c:v>
                </c:pt>
                <c:pt idx="260">
                  <c:v>360</c:v>
                </c:pt>
                <c:pt idx="261">
                  <c:v>360</c:v>
                </c:pt>
                <c:pt idx="262">
                  <c:v>360</c:v>
                </c:pt>
                <c:pt idx="263">
                  <c:v>360</c:v>
                </c:pt>
                <c:pt idx="264">
                  <c:v>360</c:v>
                </c:pt>
                <c:pt idx="265">
                  <c:v>360</c:v>
                </c:pt>
                <c:pt idx="266">
                  <c:v>360</c:v>
                </c:pt>
                <c:pt idx="267">
                  <c:v>360</c:v>
                </c:pt>
                <c:pt idx="268">
                  <c:v>360</c:v>
                </c:pt>
                <c:pt idx="269">
                  <c:v>360</c:v>
                </c:pt>
                <c:pt idx="270">
                  <c:v>180</c:v>
                </c:pt>
                <c:pt idx="271">
                  <c:v>360</c:v>
                </c:pt>
                <c:pt idx="272">
                  <c:v>360</c:v>
                </c:pt>
                <c:pt idx="273">
                  <c:v>360</c:v>
                </c:pt>
                <c:pt idx="274">
                  <c:v>360</c:v>
                </c:pt>
                <c:pt idx="275">
                  <c:v>360</c:v>
                </c:pt>
                <c:pt idx="276">
                  <c:v>360</c:v>
                </c:pt>
                <c:pt idx="277">
                  <c:v>360</c:v>
                </c:pt>
                <c:pt idx="278">
                  <c:v>360</c:v>
                </c:pt>
                <c:pt idx="279">
                  <c:v>360</c:v>
                </c:pt>
                <c:pt idx="280">
                  <c:v>360</c:v>
                </c:pt>
                <c:pt idx="281">
                  <c:v>360</c:v>
                </c:pt>
                <c:pt idx="282">
                  <c:v>360</c:v>
                </c:pt>
                <c:pt idx="283">
                  <c:v>360</c:v>
                </c:pt>
                <c:pt idx="284">
                  <c:v>360</c:v>
                </c:pt>
                <c:pt idx="285">
                  <c:v>360</c:v>
                </c:pt>
                <c:pt idx="286">
                  <c:v>360</c:v>
                </c:pt>
                <c:pt idx="287">
                  <c:v>360</c:v>
                </c:pt>
                <c:pt idx="288">
                  <c:v>480</c:v>
                </c:pt>
                <c:pt idx="289">
                  <c:v>360</c:v>
                </c:pt>
                <c:pt idx="290">
                  <c:v>360</c:v>
                </c:pt>
                <c:pt idx="291">
                  <c:v>360</c:v>
                </c:pt>
                <c:pt idx="292">
                  <c:v>360</c:v>
                </c:pt>
                <c:pt idx="293">
                  <c:v>360</c:v>
                </c:pt>
                <c:pt idx="294">
                  <c:v>360</c:v>
                </c:pt>
                <c:pt idx="295">
                  <c:v>360</c:v>
                </c:pt>
                <c:pt idx="296">
                  <c:v>360</c:v>
                </c:pt>
                <c:pt idx="297">
                  <c:v>360</c:v>
                </c:pt>
                <c:pt idx="298">
                  <c:v>360</c:v>
                </c:pt>
                <c:pt idx="299">
                  <c:v>360</c:v>
                </c:pt>
                <c:pt idx="300">
                  <c:v>360</c:v>
                </c:pt>
                <c:pt idx="301">
                  <c:v>360</c:v>
                </c:pt>
                <c:pt idx="302">
                  <c:v>360</c:v>
                </c:pt>
                <c:pt idx="303">
                  <c:v>360</c:v>
                </c:pt>
                <c:pt idx="304">
                  <c:v>360</c:v>
                </c:pt>
                <c:pt idx="305">
                  <c:v>84</c:v>
                </c:pt>
                <c:pt idx="306">
                  <c:v>360</c:v>
                </c:pt>
                <c:pt idx="307">
                  <c:v>300</c:v>
                </c:pt>
                <c:pt idx="308">
                  <c:v>180</c:v>
                </c:pt>
                <c:pt idx="309">
                  <c:v>360</c:v>
                </c:pt>
                <c:pt idx="310">
                  <c:v>360</c:v>
                </c:pt>
                <c:pt idx="311">
                  <c:v>360</c:v>
                </c:pt>
                <c:pt idx="312">
                  <c:v>360</c:v>
                </c:pt>
                <c:pt idx="313">
                  <c:v>360</c:v>
                </c:pt>
                <c:pt idx="314">
                  <c:v>360</c:v>
                </c:pt>
                <c:pt idx="315">
                  <c:v>120</c:v>
                </c:pt>
                <c:pt idx="316">
                  <c:v>360</c:v>
                </c:pt>
                <c:pt idx="317">
                  <c:v>360</c:v>
                </c:pt>
                <c:pt idx="318">
                  <c:v>6</c:v>
                </c:pt>
                <c:pt idx="319">
                  <c:v>360</c:v>
                </c:pt>
                <c:pt idx="320">
                  <c:v>360</c:v>
                </c:pt>
                <c:pt idx="321">
                  <c:v>360</c:v>
                </c:pt>
                <c:pt idx="322">
                  <c:v>360</c:v>
                </c:pt>
                <c:pt idx="323">
                  <c:v>360</c:v>
                </c:pt>
                <c:pt idx="324">
                  <c:v>360</c:v>
                </c:pt>
                <c:pt idx="325">
                  <c:v>360</c:v>
                </c:pt>
                <c:pt idx="326">
                  <c:v>360</c:v>
                </c:pt>
                <c:pt idx="327">
                  <c:v>360</c:v>
                </c:pt>
                <c:pt idx="328">
                  <c:v>360</c:v>
                </c:pt>
                <c:pt idx="329">
                  <c:v>360</c:v>
                </c:pt>
                <c:pt idx="330">
                  <c:v>360</c:v>
                </c:pt>
                <c:pt idx="331">
                  <c:v>240</c:v>
                </c:pt>
                <c:pt idx="332">
                  <c:v>360</c:v>
                </c:pt>
                <c:pt idx="333">
                  <c:v>180</c:v>
                </c:pt>
                <c:pt idx="334">
                  <c:v>360</c:v>
                </c:pt>
                <c:pt idx="335">
                  <c:v>180</c:v>
                </c:pt>
                <c:pt idx="336">
                  <c:v>360</c:v>
                </c:pt>
              </c:numCache>
            </c:numRef>
          </c:yVal>
          <c:smooth val="0"/>
          <c:extLst>
            <c:ext xmlns:c16="http://schemas.microsoft.com/office/drawing/2014/chart" uri="{C3380CC4-5D6E-409C-BE32-E72D297353CC}">
              <c16:uniqueId val="{00000000-E8B2-43E5-BE1B-8833279E0247}"/>
            </c:ext>
          </c:extLst>
        </c:ser>
        <c:dLbls>
          <c:showLegendKey val="0"/>
          <c:showVal val="0"/>
          <c:showCatName val="0"/>
          <c:showSerName val="0"/>
          <c:showPercent val="0"/>
          <c:showBubbleSize val="0"/>
        </c:dLbls>
        <c:axId val="535408408"/>
        <c:axId val="535410208"/>
      </c:scatterChart>
      <c:valAx>
        <c:axId val="5354084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Loan_Amount_term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410208"/>
        <c:crosses val="autoZero"/>
        <c:crossBetween val="midCat"/>
      </c:valAx>
      <c:valAx>
        <c:axId val="535410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Loan</a:t>
                </a:r>
                <a:r>
                  <a:rPr lang="en-US" baseline="0"/>
                  <a:t> Amount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4084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Applicant_Income</a:t>
            </a:r>
            <a:r>
              <a:rPr lang="en-US" baseline="0"/>
              <a:t> and Co-Applicant Income vs Loan_Amount </a:t>
            </a:r>
            <a:endParaRPr lang="en-US"/>
          </a:p>
        </c:rich>
      </c:tx>
      <c:layout>
        <c:manualLayout>
          <c:xMode val="edge"/>
          <c:yMode val="edge"/>
          <c:x val="6.1530234517922826E-2"/>
          <c:y val="1.66133520082354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train!$H$1</c:f>
              <c:strCache>
                <c:ptCount val="1"/>
                <c:pt idx="0">
                  <c:v>CoapplicantIncome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3398073879514211"/>
                  <c:y val="-0.8183252856463676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train!$G$2:$G$339</c:f>
              <c:numCache>
                <c:formatCode>General</c:formatCode>
                <c:ptCount val="338"/>
                <c:pt idx="0">
                  <c:v>5720</c:v>
                </c:pt>
                <c:pt idx="1">
                  <c:v>3076</c:v>
                </c:pt>
                <c:pt idx="2">
                  <c:v>5000</c:v>
                </c:pt>
                <c:pt idx="3">
                  <c:v>2340</c:v>
                </c:pt>
                <c:pt idx="4">
                  <c:v>3276</c:v>
                </c:pt>
                <c:pt idx="5">
                  <c:v>2165</c:v>
                </c:pt>
                <c:pt idx="6">
                  <c:v>2226</c:v>
                </c:pt>
                <c:pt idx="7">
                  <c:v>3881</c:v>
                </c:pt>
                <c:pt idx="8">
                  <c:v>13633</c:v>
                </c:pt>
                <c:pt idx="9">
                  <c:v>2400</c:v>
                </c:pt>
                <c:pt idx="10">
                  <c:v>3091</c:v>
                </c:pt>
                <c:pt idx="11">
                  <c:v>2185</c:v>
                </c:pt>
                <c:pt idx="12">
                  <c:v>4166</c:v>
                </c:pt>
                <c:pt idx="13">
                  <c:v>12173</c:v>
                </c:pt>
                <c:pt idx="14">
                  <c:v>4666</c:v>
                </c:pt>
                <c:pt idx="15">
                  <c:v>5667</c:v>
                </c:pt>
                <c:pt idx="16">
                  <c:v>4583</c:v>
                </c:pt>
                <c:pt idx="17">
                  <c:v>3786</c:v>
                </c:pt>
                <c:pt idx="18">
                  <c:v>9226</c:v>
                </c:pt>
                <c:pt idx="19">
                  <c:v>1300</c:v>
                </c:pt>
                <c:pt idx="20">
                  <c:v>1888</c:v>
                </c:pt>
                <c:pt idx="21">
                  <c:v>2083</c:v>
                </c:pt>
                <c:pt idx="22">
                  <c:v>3909</c:v>
                </c:pt>
                <c:pt idx="23">
                  <c:v>3765</c:v>
                </c:pt>
                <c:pt idx="24">
                  <c:v>5400</c:v>
                </c:pt>
                <c:pt idx="25">
                  <c:v>0</c:v>
                </c:pt>
                <c:pt idx="26">
                  <c:v>4363</c:v>
                </c:pt>
                <c:pt idx="27">
                  <c:v>7500</c:v>
                </c:pt>
                <c:pt idx="28">
                  <c:v>3772</c:v>
                </c:pt>
                <c:pt idx="29">
                  <c:v>2942</c:v>
                </c:pt>
                <c:pt idx="30">
                  <c:v>2478</c:v>
                </c:pt>
                <c:pt idx="31">
                  <c:v>6250</c:v>
                </c:pt>
                <c:pt idx="32">
                  <c:v>3268</c:v>
                </c:pt>
                <c:pt idx="33">
                  <c:v>2783</c:v>
                </c:pt>
                <c:pt idx="34">
                  <c:v>2740</c:v>
                </c:pt>
                <c:pt idx="35">
                  <c:v>3150</c:v>
                </c:pt>
                <c:pt idx="36">
                  <c:v>7350</c:v>
                </c:pt>
                <c:pt idx="37">
                  <c:v>2267</c:v>
                </c:pt>
                <c:pt idx="38">
                  <c:v>5833</c:v>
                </c:pt>
                <c:pt idx="39">
                  <c:v>3643</c:v>
                </c:pt>
                <c:pt idx="40">
                  <c:v>5629</c:v>
                </c:pt>
                <c:pt idx="41">
                  <c:v>3644</c:v>
                </c:pt>
                <c:pt idx="42">
                  <c:v>1750</c:v>
                </c:pt>
                <c:pt idx="43">
                  <c:v>6500</c:v>
                </c:pt>
                <c:pt idx="44">
                  <c:v>3666</c:v>
                </c:pt>
                <c:pt idx="45">
                  <c:v>4260</c:v>
                </c:pt>
                <c:pt idx="46">
                  <c:v>4163</c:v>
                </c:pt>
                <c:pt idx="47">
                  <c:v>2356</c:v>
                </c:pt>
                <c:pt idx="48">
                  <c:v>6792</c:v>
                </c:pt>
                <c:pt idx="49">
                  <c:v>8000</c:v>
                </c:pt>
                <c:pt idx="50">
                  <c:v>2419</c:v>
                </c:pt>
                <c:pt idx="51">
                  <c:v>3500</c:v>
                </c:pt>
                <c:pt idx="52">
                  <c:v>3500</c:v>
                </c:pt>
                <c:pt idx="53">
                  <c:v>4116</c:v>
                </c:pt>
                <c:pt idx="54">
                  <c:v>5293</c:v>
                </c:pt>
                <c:pt idx="55">
                  <c:v>2750</c:v>
                </c:pt>
                <c:pt idx="56">
                  <c:v>4402</c:v>
                </c:pt>
                <c:pt idx="57">
                  <c:v>3613</c:v>
                </c:pt>
                <c:pt idx="58">
                  <c:v>2779</c:v>
                </c:pt>
                <c:pt idx="59">
                  <c:v>4720</c:v>
                </c:pt>
                <c:pt idx="60">
                  <c:v>2415</c:v>
                </c:pt>
                <c:pt idx="61">
                  <c:v>7016</c:v>
                </c:pt>
                <c:pt idx="62">
                  <c:v>4968</c:v>
                </c:pt>
                <c:pt idx="63">
                  <c:v>2101</c:v>
                </c:pt>
                <c:pt idx="64">
                  <c:v>4490</c:v>
                </c:pt>
                <c:pt idx="65">
                  <c:v>2917</c:v>
                </c:pt>
                <c:pt idx="66">
                  <c:v>4700</c:v>
                </c:pt>
                <c:pt idx="67">
                  <c:v>3445</c:v>
                </c:pt>
                <c:pt idx="68">
                  <c:v>7666</c:v>
                </c:pt>
                <c:pt idx="69">
                  <c:v>2458</c:v>
                </c:pt>
                <c:pt idx="70">
                  <c:v>3250</c:v>
                </c:pt>
                <c:pt idx="71">
                  <c:v>4463</c:v>
                </c:pt>
                <c:pt idx="72">
                  <c:v>4083</c:v>
                </c:pt>
                <c:pt idx="73">
                  <c:v>3900</c:v>
                </c:pt>
                <c:pt idx="74">
                  <c:v>4750</c:v>
                </c:pt>
                <c:pt idx="75">
                  <c:v>3583</c:v>
                </c:pt>
                <c:pt idx="76">
                  <c:v>3189</c:v>
                </c:pt>
                <c:pt idx="77">
                  <c:v>6356</c:v>
                </c:pt>
                <c:pt idx="78">
                  <c:v>3413</c:v>
                </c:pt>
                <c:pt idx="79">
                  <c:v>7950</c:v>
                </c:pt>
                <c:pt idx="80">
                  <c:v>3829</c:v>
                </c:pt>
                <c:pt idx="81">
                  <c:v>72529</c:v>
                </c:pt>
                <c:pt idx="82">
                  <c:v>4136</c:v>
                </c:pt>
                <c:pt idx="83">
                  <c:v>8449</c:v>
                </c:pt>
                <c:pt idx="84">
                  <c:v>4456</c:v>
                </c:pt>
                <c:pt idx="85">
                  <c:v>4635</c:v>
                </c:pt>
                <c:pt idx="86">
                  <c:v>3571</c:v>
                </c:pt>
                <c:pt idx="87">
                  <c:v>3066</c:v>
                </c:pt>
                <c:pt idx="88">
                  <c:v>3235</c:v>
                </c:pt>
                <c:pt idx="89">
                  <c:v>5058</c:v>
                </c:pt>
                <c:pt idx="90">
                  <c:v>3188</c:v>
                </c:pt>
                <c:pt idx="91">
                  <c:v>13518</c:v>
                </c:pt>
                <c:pt idx="92">
                  <c:v>4364</c:v>
                </c:pt>
                <c:pt idx="93">
                  <c:v>4766</c:v>
                </c:pt>
                <c:pt idx="94">
                  <c:v>4609</c:v>
                </c:pt>
                <c:pt idx="95">
                  <c:v>6260</c:v>
                </c:pt>
                <c:pt idx="96">
                  <c:v>3333</c:v>
                </c:pt>
                <c:pt idx="97">
                  <c:v>3500</c:v>
                </c:pt>
                <c:pt idx="98">
                  <c:v>9719</c:v>
                </c:pt>
                <c:pt idx="99">
                  <c:v>6835</c:v>
                </c:pt>
                <c:pt idx="100">
                  <c:v>4452</c:v>
                </c:pt>
                <c:pt idx="101">
                  <c:v>2262</c:v>
                </c:pt>
                <c:pt idx="102">
                  <c:v>3901</c:v>
                </c:pt>
                <c:pt idx="103">
                  <c:v>2687</c:v>
                </c:pt>
                <c:pt idx="104">
                  <c:v>2243</c:v>
                </c:pt>
                <c:pt idx="105">
                  <c:v>3417</c:v>
                </c:pt>
                <c:pt idx="106">
                  <c:v>1596</c:v>
                </c:pt>
                <c:pt idx="107">
                  <c:v>4513</c:v>
                </c:pt>
                <c:pt idx="108">
                  <c:v>4500</c:v>
                </c:pt>
                <c:pt idx="109">
                  <c:v>4523</c:v>
                </c:pt>
                <c:pt idx="110">
                  <c:v>4742</c:v>
                </c:pt>
                <c:pt idx="111">
                  <c:v>4082</c:v>
                </c:pt>
                <c:pt idx="112">
                  <c:v>3417</c:v>
                </c:pt>
                <c:pt idx="113">
                  <c:v>2922</c:v>
                </c:pt>
                <c:pt idx="114">
                  <c:v>4167</c:v>
                </c:pt>
                <c:pt idx="115">
                  <c:v>4243</c:v>
                </c:pt>
                <c:pt idx="116">
                  <c:v>0</c:v>
                </c:pt>
                <c:pt idx="117">
                  <c:v>1516</c:v>
                </c:pt>
                <c:pt idx="118">
                  <c:v>1762</c:v>
                </c:pt>
                <c:pt idx="119">
                  <c:v>724</c:v>
                </c:pt>
                <c:pt idx="120">
                  <c:v>3125</c:v>
                </c:pt>
                <c:pt idx="121">
                  <c:v>2333</c:v>
                </c:pt>
                <c:pt idx="122">
                  <c:v>3350</c:v>
                </c:pt>
                <c:pt idx="123">
                  <c:v>2500</c:v>
                </c:pt>
                <c:pt idx="124">
                  <c:v>12500</c:v>
                </c:pt>
                <c:pt idx="125">
                  <c:v>4667</c:v>
                </c:pt>
                <c:pt idx="126">
                  <c:v>6500</c:v>
                </c:pt>
                <c:pt idx="127">
                  <c:v>7500</c:v>
                </c:pt>
                <c:pt idx="128">
                  <c:v>3073</c:v>
                </c:pt>
                <c:pt idx="129">
                  <c:v>3321</c:v>
                </c:pt>
                <c:pt idx="130">
                  <c:v>3333</c:v>
                </c:pt>
                <c:pt idx="131">
                  <c:v>3391</c:v>
                </c:pt>
                <c:pt idx="132">
                  <c:v>3343</c:v>
                </c:pt>
                <c:pt idx="133">
                  <c:v>3620</c:v>
                </c:pt>
                <c:pt idx="134">
                  <c:v>4000</c:v>
                </c:pt>
                <c:pt idx="135">
                  <c:v>4258</c:v>
                </c:pt>
                <c:pt idx="136">
                  <c:v>4500</c:v>
                </c:pt>
                <c:pt idx="137">
                  <c:v>2014</c:v>
                </c:pt>
                <c:pt idx="138">
                  <c:v>3333</c:v>
                </c:pt>
                <c:pt idx="139">
                  <c:v>4083</c:v>
                </c:pt>
                <c:pt idx="140">
                  <c:v>4727</c:v>
                </c:pt>
                <c:pt idx="141">
                  <c:v>3089</c:v>
                </c:pt>
                <c:pt idx="142">
                  <c:v>6794</c:v>
                </c:pt>
                <c:pt idx="143">
                  <c:v>32000</c:v>
                </c:pt>
                <c:pt idx="144">
                  <c:v>10890</c:v>
                </c:pt>
                <c:pt idx="145">
                  <c:v>12941</c:v>
                </c:pt>
                <c:pt idx="146">
                  <c:v>3276</c:v>
                </c:pt>
                <c:pt idx="147">
                  <c:v>8703</c:v>
                </c:pt>
                <c:pt idx="148">
                  <c:v>4742</c:v>
                </c:pt>
                <c:pt idx="149">
                  <c:v>5900</c:v>
                </c:pt>
                <c:pt idx="150">
                  <c:v>3071</c:v>
                </c:pt>
                <c:pt idx="151">
                  <c:v>2783</c:v>
                </c:pt>
                <c:pt idx="152">
                  <c:v>5000</c:v>
                </c:pt>
                <c:pt idx="153">
                  <c:v>2463</c:v>
                </c:pt>
                <c:pt idx="154">
                  <c:v>4855</c:v>
                </c:pt>
                <c:pt idx="155">
                  <c:v>1599</c:v>
                </c:pt>
                <c:pt idx="156">
                  <c:v>4246</c:v>
                </c:pt>
                <c:pt idx="157">
                  <c:v>4333</c:v>
                </c:pt>
                <c:pt idx="158">
                  <c:v>5823</c:v>
                </c:pt>
                <c:pt idx="159">
                  <c:v>7895</c:v>
                </c:pt>
                <c:pt idx="160">
                  <c:v>4150</c:v>
                </c:pt>
                <c:pt idx="161">
                  <c:v>2964</c:v>
                </c:pt>
                <c:pt idx="162">
                  <c:v>5583</c:v>
                </c:pt>
                <c:pt idx="163">
                  <c:v>2708</c:v>
                </c:pt>
                <c:pt idx="164">
                  <c:v>3180</c:v>
                </c:pt>
                <c:pt idx="165">
                  <c:v>2268</c:v>
                </c:pt>
                <c:pt idx="166">
                  <c:v>1141</c:v>
                </c:pt>
                <c:pt idx="167">
                  <c:v>3042</c:v>
                </c:pt>
                <c:pt idx="168">
                  <c:v>1750</c:v>
                </c:pt>
                <c:pt idx="169">
                  <c:v>3564</c:v>
                </c:pt>
                <c:pt idx="170">
                  <c:v>3958</c:v>
                </c:pt>
                <c:pt idx="171">
                  <c:v>4483</c:v>
                </c:pt>
                <c:pt idx="172">
                  <c:v>5225</c:v>
                </c:pt>
                <c:pt idx="173">
                  <c:v>3017</c:v>
                </c:pt>
                <c:pt idx="174">
                  <c:v>2431</c:v>
                </c:pt>
                <c:pt idx="175">
                  <c:v>4912</c:v>
                </c:pt>
                <c:pt idx="176">
                  <c:v>2500</c:v>
                </c:pt>
                <c:pt idx="177">
                  <c:v>2918</c:v>
                </c:pt>
                <c:pt idx="178">
                  <c:v>5128</c:v>
                </c:pt>
                <c:pt idx="179">
                  <c:v>15312</c:v>
                </c:pt>
                <c:pt idx="180">
                  <c:v>3958</c:v>
                </c:pt>
                <c:pt idx="181">
                  <c:v>4334</c:v>
                </c:pt>
                <c:pt idx="182">
                  <c:v>4358</c:v>
                </c:pt>
                <c:pt idx="183">
                  <c:v>4000</c:v>
                </c:pt>
                <c:pt idx="184">
                  <c:v>10166</c:v>
                </c:pt>
                <c:pt idx="185">
                  <c:v>4483</c:v>
                </c:pt>
                <c:pt idx="186">
                  <c:v>4521</c:v>
                </c:pt>
                <c:pt idx="187">
                  <c:v>9167</c:v>
                </c:pt>
                <c:pt idx="188">
                  <c:v>13083</c:v>
                </c:pt>
                <c:pt idx="189">
                  <c:v>7874</c:v>
                </c:pt>
                <c:pt idx="190">
                  <c:v>4333</c:v>
                </c:pt>
                <c:pt idx="191">
                  <c:v>4083</c:v>
                </c:pt>
                <c:pt idx="192">
                  <c:v>3785</c:v>
                </c:pt>
                <c:pt idx="193">
                  <c:v>2654</c:v>
                </c:pt>
                <c:pt idx="194">
                  <c:v>10000</c:v>
                </c:pt>
                <c:pt idx="195">
                  <c:v>5833</c:v>
                </c:pt>
                <c:pt idx="196">
                  <c:v>4796</c:v>
                </c:pt>
                <c:pt idx="197">
                  <c:v>2000</c:v>
                </c:pt>
                <c:pt idx="198">
                  <c:v>2540</c:v>
                </c:pt>
                <c:pt idx="199">
                  <c:v>1900</c:v>
                </c:pt>
                <c:pt idx="200">
                  <c:v>8706</c:v>
                </c:pt>
                <c:pt idx="201">
                  <c:v>2855</c:v>
                </c:pt>
                <c:pt idx="202">
                  <c:v>3016</c:v>
                </c:pt>
                <c:pt idx="203">
                  <c:v>3159</c:v>
                </c:pt>
                <c:pt idx="204">
                  <c:v>1937</c:v>
                </c:pt>
                <c:pt idx="205">
                  <c:v>2613</c:v>
                </c:pt>
                <c:pt idx="206">
                  <c:v>4960</c:v>
                </c:pt>
                <c:pt idx="207">
                  <c:v>3074</c:v>
                </c:pt>
                <c:pt idx="208">
                  <c:v>4213</c:v>
                </c:pt>
                <c:pt idx="209">
                  <c:v>2038</c:v>
                </c:pt>
                <c:pt idx="210">
                  <c:v>2362</c:v>
                </c:pt>
                <c:pt idx="211">
                  <c:v>5333</c:v>
                </c:pt>
                <c:pt idx="212">
                  <c:v>5384</c:v>
                </c:pt>
                <c:pt idx="213">
                  <c:v>5708</c:v>
                </c:pt>
                <c:pt idx="214">
                  <c:v>3754</c:v>
                </c:pt>
                <c:pt idx="215">
                  <c:v>2914</c:v>
                </c:pt>
                <c:pt idx="216">
                  <c:v>2747</c:v>
                </c:pt>
                <c:pt idx="217">
                  <c:v>7830</c:v>
                </c:pt>
                <c:pt idx="218">
                  <c:v>3507</c:v>
                </c:pt>
                <c:pt idx="219">
                  <c:v>3747</c:v>
                </c:pt>
                <c:pt idx="220">
                  <c:v>2166</c:v>
                </c:pt>
                <c:pt idx="221">
                  <c:v>3500</c:v>
                </c:pt>
                <c:pt idx="222">
                  <c:v>2896</c:v>
                </c:pt>
                <c:pt idx="223">
                  <c:v>5062</c:v>
                </c:pt>
                <c:pt idx="224">
                  <c:v>5184</c:v>
                </c:pt>
                <c:pt idx="225">
                  <c:v>2545</c:v>
                </c:pt>
                <c:pt idx="226">
                  <c:v>2553</c:v>
                </c:pt>
                <c:pt idx="227">
                  <c:v>3436</c:v>
                </c:pt>
                <c:pt idx="228">
                  <c:v>2412</c:v>
                </c:pt>
                <c:pt idx="229">
                  <c:v>5180</c:v>
                </c:pt>
                <c:pt idx="230">
                  <c:v>14911</c:v>
                </c:pt>
                <c:pt idx="231">
                  <c:v>2860</c:v>
                </c:pt>
                <c:pt idx="232">
                  <c:v>1173</c:v>
                </c:pt>
                <c:pt idx="233">
                  <c:v>7600</c:v>
                </c:pt>
                <c:pt idx="234">
                  <c:v>2157</c:v>
                </c:pt>
                <c:pt idx="235">
                  <c:v>2231</c:v>
                </c:pt>
                <c:pt idx="236">
                  <c:v>2274</c:v>
                </c:pt>
                <c:pt idx="237">
                  <c:v>6166</c:v>
                </c:pt>
                <c:pt idx="238">
                  <c:v>2513</c:v>
                </c:pt>
                <c:pt idx="239">
                  <c:v>4333</c:v>
                </c:pt>
                <c:pt idx="240">
                  <c:v>3844</c:v>
                </c:pt>
                <c:pt idx="241">
                  <c:v>3887</c:v>
                </c:pt>
                <c:pt idx="242">
                  <c:v>3510</c:v>
                </c:pt>
                <c:pt idx="243">
                  <c:v>2539</c:v>
                </c:pt>
                <c:pt idx="244">
                  <c:v>2107</c:v>
                </c:pt>
                <c:pt idx="245">
                  <c:v>3186</c:v>
                </c:pt>
                <c:pt idx="246">
                  <c:v>5000</c:v>
                </c:pt>
                <c:pt idx="247">
                  <c:v>10000</c:v>
                </c:pt>
                <c:pt idx="248">
                  <c:v>3943</c:v>
                </c:pt>
                <c:pt idx="249">
                  <c:v>2925</c:v>
                </c:pt>
                <c:pt idx="250">
                  <c:v>3242</c:v>
                </c:pt>
                <c:pt idx="251">
                  <c:v>3863</c:v>
                </c:pt>
                <c:pt idx="252">
                  <c:v>4028</c:v>
                </c:pt>
                <c:pt idx="253">
                  <c:v>4010</c:v>
                </c:pt>
                <c:pt idx="254">
                  <c:v>3719</c:v>
                </c:pt>
                <c:pt idx="255">
                  <c:v>2858</c:v>
                </c:pt>
                <c:pt idx="256">
                  <c:v>3833</c:v>
                </c:pt>
                <c:pt idx="257">
                  <c:v>3333</c:v>
                </c:pt>
                <c:pt idx="258">
                  <c:v>3007</c:v>
                </c:pt>
                <c:pt idx="259">
                  <c:v>1850</c:v>
                </c:pt>
                <c:pt idx="260">
                  <c:v>2792</c:v>
                </c:pt>
                <c:pt idx="261">
                  <c:v>2982</c:v>
                </c:pt>
                <c:pt idx="262">
                  <c:v>3417</c:v>
                </c:pt>
                <c:pt idx="263">
                  <c:v>18840</c:v>
                </c:pt>
                <c:pt idx="264">
                  <c:v>2995</c:v>
                </c:pt>
                <c:pt idx="265">
                  <c:v>3579</c:v>
                </c:pt>
                <c:pt idx="266">
                  <c:v>3835</c:v>
                </c:pt>
                <c:pt idx="267">
                  <c:v>3854</c:v>
                </c:pt>
                <c:pt idx="268">
                  <c:v>5833</c:v>
                </c:pt>
                <c:pt idx="269">
                  <c:v>3508</c:v>
                </c:pt>
                <c:pt idx="270">
                  <c:v>1635</c:v>
                </c:pt>
                <c:pt idx="271">
                  <c:v>3333</c:v>
                </c:pt>
                <c:pt idx="272">
                  <c:v>24797</c:v>
                </c:pt>
                <c:pt idx="273">
                  <c:v>5667</c:v>
                </c:pt>
                <c:pt idx="274">
                  <c:v>3500</c:v>
                </c:pt>
                <c:pt idx="275">
                  <c:v>2773</c:v>
                </c:pt>
                <c:pt idx="276">
                  <c:v>6500</c:v>
                </c:pt>
                <c:pt idx="277">
                  <c:v>5769</c:v>
                </c:pt>
                <c:pt idx="278">
                  <c:v>3634</c:v>
                </c:pt>
                <c:pt idx="279">
                  <c:v>29167</c:v>
                </c:pt>
                <c:pt idx="280">
                  <c:v>2166</c:v>
                </c:pt>
                <c:pt idx="281">
                  <c:v>5000</c:v>
                </c:pt>
                <c:pt idx="282">
                  <c:v>5530</c:v>
                </c:pt>
                <c:pt idx="283">
                  <c:v>9000</c:v>
                </c:pt>
                <c:pt idx="284">
                  <c:v>10000</c:v>
                </c:pt>
                <c:pt idx="285">
                  <c:v>8750</c:v>
                </c:pt>
                <c:pt idx="286">
                  <c:v>2157</c:v>
                </c:pt>
                <c:pt idx="287">
                  <c:v>1972</c:v>
                </c:pt>
                <c:pt idx="288">
                  <c:v>4983</c:v>
                </c:pt>
                <c:pt idx="289">
                  <c:v>8333</c:v>
                </c:pt>
                <c:pt idx="290">
                  <c:v>3667</c:v>
                </c:pt>
                <c:pt idx="291">
                  <c:v>3166</c:v>
                </c:pt>
                <c:pt idx="292">
                  <c:v>3271</c:v>
                </c:pt>
                <c:pt idx="293">
                  <c:v>2241</c:v>
                </c:pt>
                <c:pt idx="294">
                  <c:v>1792</c:v>
                </c:pt>
                <c:pt idx="295">
                  <c:v>2666</c:v>
                </c:pt>
                <c:pt idx="296">
                  <c:v>6478</c:v>
                </c:pt>
                <c:pt idx="297">
                  <c:v>3808</c:v>
                </c:pt>
                <c:pt idx="298">
                  <c:v>3729</c:v>
                </c:pt>
                <c:pt idx="299">
                  <c:v>4120</c:v>
                </c:pt>
                <c:pt idx="300">
                  <c:v>7500</c:v>
                </c:pt>
                <c:pt idx="301">
                  <c:v>6300</c:v>
                </c:pt>
                <c:pt idx="302">
                  <c:v>14987</c:v>
                </c:pt>
                <c:pt idx="303">
                  <c:v>570</c:v>
                </c:pt>
                <c:pt idx="304">
                  <c:v>2600</c:v>
                </c:pt>
                <c:pt idx="305">
                  <c:v>2733</c:v>
                </c:pt>
                <c:pt idx="306">
                  <c:v>7500</c:v>
                </c:pt>
                <c:pt idx="307">
                  <c:v>3859</c:v>
                </c:pt>
                <c:pt idx="308">
                  <c:v>6825</c:v>
                </c:pt>
                <c:pt idx="309">
                  <c:v>3708</c:v>
                </c:pt>
                <c:pt idx="310">
                  <c:v>5314</c:v>
                </c:pt>
                <c:pt idx="311">
                  <c:v>2366</c:v>
                </c:pt>
                <c:pt idx="312">
                  <c:v>2066</c:v>
                </c:pt>
                <c:pt idx="313">
                  <c:v>5000</c:v>
                </c:pt>
                <c:pt idx="314">
                  <c:v>3767</c:v>
                </c:pt>
                <c:pt idx="315">
                  <c:v>7859</c:v>
                </c:pt>
                <c:pt idx="316">
                  <c:v>4283</c:v>
                </c:pt>
                <c:pt idx="317">
                  <c:v>1700</c:v>
                </c:pt>
                <c:pt idx="318">
                  <c:v>4768</c:v>
                </c:pt>
                <c:pt idx="319">
                  <c:v>3083</c:v>
                </c:pt>
                <c:pt idx="320">
                  <c:v>2667</c:v>
                </c:pt>
                <c:pt idx="321">
                  <c:v>1647</c:v>
                </c:pt>
                <c:pt idx="322">
                  <c:v>3400</c:v>
                </c:pt>
                <c:pt idx="323">
                  <c:v>16000</c:v>
                </c:pt>
                <c:pt idx="324">
                  <c:v>5333</c:v>
                </c:pt>
                <c:pt idx="325">
                  <c:v>2875</c:v>
                </c:pt>
                <c:pt idx="326">
                  <c:v>2600</c:v>
                </c:pt>
                <c:pt idx="327">
                  <c:v>5041</c:v>
                </c:pt>
                <c:pt idx="328">
                  <c:v>6958</c:v>
                </c:pt>
                <c:pt idx="329">
                  <c:v>3500</c:v>
                </c:pt>
                <c:pt idx="330">
                  <c:v>5509</c:v>
                </c:pt>
                <c:pt idx="331">
                  <c:v>9699</c:v>
                </c:pt>
                <c:pt idx="332">
                  <c:v>3621</c:v>
                </c:pt>
                <c:pt idx="333">
                  <c:v>4709</c:v>
                </c:pt>
                <c:pt idx="334">
                  <c:v>1516</c:v>
                </c:pt>
                <c:pt idx="335">
                  <c:v>2400</c:v>
                </c:pt>
                <c:pt idx="336">
                  <c:v>3015</c:v>
                </c:pt>
                <c:pt idx="337">
                  <c:v>2292</c:v>
                </c:pt>
              </c:numCache>
            </c:numRef>
          </c:xVal>
          <c:yVal>
            <c:numRef>
              <c:f>train!$H$2:$H$339</c:f>
              <c:numCache>
                <c:formatCode>General</c:formatCode>
                <c:ptCount val="338"/>
                <c:pt idx="0">
                  <c:v>0</c:v>
                </c:pt>
                <c:pt idx="1">
                  <c:v>1500</c:v>
                </c:pt>
                <c:pt idx="2">
                  <c:v>1800</c:v>
                </c:pt>
                <c:pt idx="3">
                  <c:v>2546</c:v>
                </c:pt>
                <c:pt idx="4">
                  <c:v>0</c:v>
                </c:pt>
                <c:pt idx="5">
                  <c:v>3422</c:v>
                </c:pt>
                <c:pt idx="6">
                  <c:v>0</c:v>
                </c:pt>
                <c:pt idx="7">
                  <c:v>0</c:v>
                </c:pt>
                <c:pt idx="8">
                  <c:v>0</c:v>
                </c:pt>
                <c:pt idx="9">
                  <c:v>2400</c:v>
                </c:pt>
                <c:pt idx="10">
                  <c:v>0</c:v>
                </c:pt>
                <c:pt idx="11">
                  <c:v>1516</c:v>
                </c:pt>
                <c:pt idx="12">
                  <c:v>0</c:v>
                </c:pt>
                <c:pt idx="13">
                  <c:v>0</c:v>
                </c:pt>
                <c:pt idx="14">
                  <c:v>0</c:v>
                </c:pt>
                <c:pt idx="15">
                  <c:v>0</c:v>
                </c:pt>
                <c:pt idx="16">
                  <c:v>2916</c:v>
                </c:pt>
                <c:pt idx="17">
                  <c:v>333</c:v>
                </c:pt>
                <c:pt idx="18">
                  <c:v>7916</c:v>
                </c:pt>
                <c:pt idx="19">
                  <c:v>3470</c:v>
                </c:pt>
                <c:pt idx="20">
                  <c:v>1620</c:v>
                </c:pt>
                <c:pt idx="21">
                  <c:v>0</c:v>
                </c:pt>
                <c:pt idx="22">
                  <c:v>0</c:v>
                </c:pt>
                <c:pt idx="23">
                  <c:v>0</c:v>
                </c:pt>
                <c:pt idx="24">
                  <c:v>4380</c:v>
                </c:pt>
                <c:pt idx="25">
                  <c:v>24000</c:v>
                </c:pt>
                <c:pt idx="26">
                  <c:v>1250</c:v>
                </c:pt>
                <c:pt idx="27">
                  <c:v>3750</c:v>
                </c:pt>
                <c:pt idx="28">
                  <c:v>833</c:v>
                </c:pt>
                <c:pt idx="29">
                  <c:v>2382</c:v>
                </c:pt>
                <c:pt idx="30">
                  <c:v>0</c:v>
                </c:pt>
                <c:pt idx="31">
                  <c:v>820</c:v>
                </c:pt>
                <c:pt idx="32">
                  <c:v>1683</c:v>
                </c:pt>
                <c:pt idx="33">
                  <c:v>2708</c:v>
                </c:pt>
                <c:pt idx="34">
                  <c:v>1541</c:v>
                </c:pt>
                <c:pt idx="35">
                  <c:v>0</c:v>
                </c:pt>
                <c:pt idx="36">
                  <c:v>4029</c:v>
                </c:pt>
                <c:pt idx="37">
                  <c:v>2792</c:v>
                </c:pt>
                <c:pt idx="38">
                  <c:v>0</c:v>
                </c:pt>
                <c:pt idx="39">
                  <c:v>1963</c:v>
                </c:pt>
                <c:pt idx="40">
                  <c:v>818</c:v>
                </c:pt>
                <c:pt idx="41">
                  <c:v>0</c:v>
                </c:pt>
                <c:pt idx="42">
                  <c:v>2024</c:v>
                </c:pt>
                <c:pt idx="43">
                  <c:v>2600</c:v>
                </c:pt>
                <c:pt idx="44">
                  <c:v>0</c:v>
                </c:pt>
                <c:pt idx="45">
                  <c:v>3900</c:v>
                </c:pt>
                <c:pt idx="46">
                  <c:v>1475</c:v>
                </c:pt>
                <c:pt idx="47">
                  <c:v>1902</c:v>
                </c:pt>
                <c:pt idx="48">
                  <c:v>3338</c:v>
                </c:pt>
                <c:pt idx="49">
                  <c:v>250</c:v>
                </c:pt>
                <c:pt idx="50">
                  <c:v>1707</c:v>
                </c:pt>
                <c:pt idx="51">
                  <c:v>833</c:v>
                </c:pt>
                <c:pt idx="52">
                  <c:v>3077</c:v>
                </c:pt>
                <c:pt idx="53">
                  <c:v>1000</c:v>
                </c:pt>
                <c:pt idx="54">
                  <c:v>0</c:v>
                </c:pt>
                <c:pt idx="55">
                  <c:v>0</c:v>
                </c:pt>
                <c:pt idx="56">
                  <c:v>0</c:v>
                </c:pt>
                <c:pt idx="57">
                  <c:v>3539</c:v>
                </c:pt>
                <c:pt idx="58">
                  <c:v>3664</c:v>
                </c:pt>
                <c:pt idx="59">
                  <c:v>0</c:v>
                </c:pt>
                <c:pt idx="60">
                  <c:v>1721</c:v>
                </c:pt>
                <c:pt idx="61">
                  <c:v>292</c:v>
                </c:pt>
                <c:pt idx="62">
                  <c:v>0</c:v>
                </c:pt>
                <c:pt idx="63">
                  <c:v>1500</c:v>
                </c:pt>
                <c:pt idx="64">
                  <c:v>0</c:v>
                </c:pt>
                <c:pt idx="65">
                  <c:v>3583</c:v>
                </c:pt>
                <c:pt idx="66">
                  <c:v>0</c:v>
                </c:pt>
                <c:pt idx="67">
                  <c:v>0</c:v>
                </c:pt>
                <c:pt idx="68">
                  <c:v>0</c:v>
                </c:pt>
                <c:pt idx="69">
                  <c:v>5105</c:v>
                </c:pt>
                <c:pt idx="70">
                  <c:v>0</c:v>
                </c:pt>
                <c:pt idx="71">
                  <c:v>0</c:v>
                </c:pt>
                <c:pt idx="72">
                  <c:v>1775</c:v>
                </c:pt>
                <c:pt idx="73">
                  <c:v>2094</c:v>
                </c:pt>
                <c:pt idx="74">
                  <c:v>3583</c:v>
                </c:pt>
                <c:pt idx="75">
                  <c:v>3435</c:v>
                </c:pt>
                <c:pt idx="76">
                  <c:v>2367</c:v>
                </c:pt>
                <c:pt idx="77">
                  <c:v>0</c:v>
                </c:pt>
                <c:pt idx="78">
                  <c:v>4053</c:v>
                </c:pt>
                <c:pt idx="79">
                  <c:v>0</c:v>
                </c:pt>
                <c:pt idx="80">
                  <c:v>1103</c:v>
                </c:pt>
                <c:pt idx="81">
                  <c:v>0</c:v>
                </c:pt>
                <c:pt idx="82">
                  <c:v>0</c:v>
                </c:pt>
                <c:pt idx="83">
                  <c:v>0</c:v>
                </c:pt>
                <c:pt idx="84">
                  <c:v>0</c:v>
                </c:pt>
                <c:pt idx="85">
                  <c:v>8000</c:v>
                </c:pt>
                <c:pt idx="86">
                  <c:v>1917</c:v>
                </c:pt>
                <c:pt idx="87">
                  <c:v>0</c:v>
                </c:pt>
                <c:pt idx="88">
                  <c:v>2015</c:v>
                </c:pt>
                <c:pt idx="89">
                  <c:v>0</c:v>
                </c:pt>
                <c:pt idx="90">
                  <c:v>2286</c:v>
                </c:pt>
                <c:pt idx="91">
                  <c:v>0</c:v>
                </c:pt>
                <c:pt idx="92">
                  <c:v>2500</c:v>
                </c:pt>
                <c:pt idx="93">
                  <c:v>1646</c:v>
                </c:pt>
                <c:pt idx="94">
                  <c:v>2333</c:v>
                </c:pt>
                <c:pt idx="95">
                  <c:v>0</c:v>
                </c:pt>
                <c:pt idx="96">
                  <c:v>4200</c:v>
                </c:pt>
                <c:pt idx="97">
                  <c:v>3250</c:v>
                </c:pt>
                <c:pt idx="98">
                  <c:v>0</c:v>
                </c:pt>
                <c:pt idx="99">
                  <c:v>0</c:v>
                </c:pt>
                <c:pt idx="100">
                  <c:v>0</c:v>
                </c:pt>
                <c:pt idx="101">
                  <c:v>0</c:v>
                </c:pt>
                <c:pt idx="102">
                  <c:v>0</c:v>
                </c:pt>
                <c:pt idx="103">
                  <c:v>0</c:v>
                </c:pt>
                <c:pt idx="104">
                  <c:v>2233</c:v>
                </c:pt>
                <c:pt idx="105">
                  <c:v>1287</c:v>
                </c:pt>
                <c:pt idx="106">
                  <c:v>1760</c:v>
                </c:pt>
                <c:pt idx="107">
                  <c:v>0</c:v>
                </c:pt>
                <c:pt idx="108">
                  <c:v>0</c:v>
                </c:pt>
                <c:pt idx="109">
                  <c:v>1350</c:v>
                </c:pt>
                <c:pt idx="110">
                  <c:v>0</c:v>
                </c:pt>
                <c:pt idx="111">
                  <c:v>0</c:v>
                </c:pt>
                <c:pt idx="112">
                  <c:v>0</c:v>
                </c:pt>
                <c:pt idx="113">
                  <c:v>3396</c:v>
                </c:pt>
                <c:pt idx="114">
                  <c:v>4754</c:v>
                </c:pt>
                <c:pt idx="115">
                  <c:v>4123</c:v>
                </c:pt>
                <c:pt idx="116">
                  <c:v>1760</c:v>
                </c:pt>
                <c:pt idx="117">
                  <c:v>2900</c:v>
                </c:pt>
                <c:pt idx="118">
                  <c:v>2666</c:v>
                </c:pt>
                <c:pt idx="119">
                  <c:v>3510</c:v>
                </c:pt>
                <c:pt idx="120">
                  <c:v>0</c:v>
                </c:pt>
                <c:pt idx="121">
                  <c:v>3803</c:v>
                </c:pt>
                <c:pt idx="122">
                  <c:v>1560</c:v>
                </c:pt>
                <c:pt idx="123">
                  <c:v>6414</c:v>
                </c:pt>
                <c:pt idx="124">
                  <c:v>0</c:v>
                </c:pt>
                <c:pt idx="125">
                  <c:v>0</c:v>
                </c:pt>
                <c:pt idx="126">
                  <c:v>0</c:v>
                </c:pt>
                <c:pt idx="127">
                  <c:v>0</c:v>
                </c:pt>
                <c:pt idx="128">
                  <c:v>0</c:v>
                </c:pt>
                <c:pt idx="129">
                  <c:v>2088</c:v>
                </c:pt>
                <c:pt idx="130">
                  <c:v>1270</c:v>
                </c:pt>
                <c:pt idx="131">
                  <c:v>0</c:v>
                </c:pt>
                <c:pt idx="132">
                  <c:v>1517</c:v>
                </c:pt>
                <c:pt idx="133">
                  <c:v>0</c:v>
                </c:pt>
                <c:pt idx="134">
                  <c:v>0</c:v>
                </c:pt>
                <c:pt idx="135">
                  <c:v>0</c:v>
                </c:pt>
                <c:pt idx="136">
                  <c:v>0</c:v>
                </c:pt>
                <c:pt idx="137">
                  <c:v>2925</c:v>
                </c:pt>
                <c:pt idx="138">
                  <c:v>1250</c:v>
                </c:pt>
                <c:pt idx="139">
                  <c:v>0</c:v>
                </c:pt>
                <c:pt idx="140">
                  <c:v>0</c:v>
                </c:pt>
                <c:pt idx="141">
                  <c:v>2999</c:v>
                </c:pt>
                <c:pt idx="142">
                  <c:v>528</c:v>
                </c:pt>
                <c:pt idx="143">
                  <c:v>0</c:v>
                </c:pt>
                <c:pt idx="144">
                  <c:v>0</c:v>
                </c:pt>
                <c:pt idx="145">
                  <c:v>0</c:v>
                </c:pt>
                <c:pt idx="146">
                  <c:v>0</c:v>
                </c:pt>
                <c:pt idx="147">
                  <c:v>0</c:v>
                </c:pt>
                <c:pt idx="148">
                  <c:v>717</c:v>
                </c:pt>
                <c:pt idx="149">
                  <c:v>0</c:v>
                </c:pt>
                <c:pt idx="150">
                  <c:v>4309</c:v>
                </c:pt>
                <c:pt idx="151">
                  <c:v>1456</c:v>
                </c:pt>
                <c:pt idx="152">
                  <c:v>0</c:v>
                </c:pt>
                <c:pt idx="153">
                  <c:v>2360</c:v>
                </c:pt>
                <c:pt idx="154">
                  <c:v>0</c:v>
                </c:pt>
                <c:pt idx="155">
                  <c:v>2474</c:v>
                </c:pt>
                <c:pt idx="156">
                  <c:v>4246</c:v>
                </c:pt>
                <c:pt idx="157">
                  <c:v>2291</c:v>
                </c:pt>
                <c:pt idx="158">
                  <c:v>2529</c:v>
                </c:pt>
                <c:pt idx="159">
                  <c:v>0</c:v>
                </c:pt>
                <c:pt idx="160">
                  <c:v>4256</c:v>
                </c:pt>
                <c:pt idx="161">
                  <c:v>0</c:v>
                </c:pt>
                <c:pt idx="162">
                  <c:v>0</c:v>
                </c:pt>
                <c:pt idx="163">
                  <c:v>0</c:v>
                </c:pt>
                <c:pt idx="164">
                  <c:v>2370</c:v>
                </c:pt>
                <c:pt idx="165">
                  <c:v>0</c:v>
                </c:pt>
                <c:pt idx="166">
                  <c:v>2017</c:v>
                </c:pt>
                <c:pt idx="167">
                  <c:v>3167</c:v>
                </c:pt>
                <c:pt idx="168">
                  <c:v>2935</c:v>
                </c:pt>
                <c:pt idx="169">
                  <c:v>0</c:v>
                </c:pt>
                <c:pt idx="170">
                  <c:v>0</c:v>
                </c:pt>
                <c:pt idx="171">
                  <c:v>0</c:v>
                </c:pt>
                <c:pt idx="172">
                  <c:v>0</c:v>
                </c:pt>
                <c:pt idx="173">
                  <c:v>2845</c:v>
                </c:pt>
                <c:pt idx="174">
                  <c:v>1820</c:v>
                </c:pt>
                <c:pt idx="175">
                  <c:v>4614</c:v>
                </c:pt>
                <c:pt idx="176">
                  <c:v>3333</c:v>
                </c:pt>
                <c:pt idx="177">
                  <c:v>0</c:v>
                </c:pt>
                <c:pt idx="178">
                  <c:v>0</c:v>
                </c:pt>
                <c:pt idx="179">
                  <c:v>0</c:v>
                </c:pt>
                <c:pt idx="180">
                  <c:v>2632</c:v>
                </c:pt>
                <c:pt idx="181">
                  <c:v>2945</c:v>
                </c:pt>
                <c:pt idx="182">
                  <c:v>0</c:v>
                </c:pt>
                <c:pt idx="183">
                  <c:v>3917</c:v>
                </c:pt>
                <c:pt idx="184">
                  <c:v>750</c:v>
                </c:pt>
                <c:pt idx="185">
                  <c:v>0</c:v>
                </c:pt>
                <c:pt idx="186">
                  <c:v>1184</c:v>
                </c:pt>
                <c:pt idx="187">
                  <c:v>0</c:v>
                </c:pt>
                <c:pt idx="188">
                  <c:v>0</c:v>
                </c:pt>
                <c:pt idx="189">
                  <c:v>3967</c:v>
                </c:pt>
                <c:pt idx="190">
                  <c:v>0</c:v>
                </c:pt>
                <c:pt idx="191">
                  <c:v>0</c:v>
                </c:pt>
                <c:pt idx="192">
                  <c:v>2912</c:v>
                </c:pt>
                <c:pt idx="193">
                  <c:v>1998</c:v>
                </c:pt>
                <c:pt idx="194">
                  <c:v>2690</c:v>
                </c:pt>
                <c:pt idx="195">
                  <c:v>0</c:v>
                </c:pt>
                <c:pt idx="196">
                  <c:v>0</c:v>
                </c:pt>
                <c:pt idx="197">
                  <c:v>1600</c:v>
                </c:pt>
                <c:pt idx="198">
                  <c:v>700</c:v>
                </c:pt>
                <c:pt idx="199">
                  <c:v>1442</c:v>
                </c:pt>
                <c:pt idx="200">
                  <c:v>0</c:v>
                </c:pt>
                <c:pt idx="201">
                  <c:v>542</c:v>
                </c:pt>
                <c:pt idx="202">
                  <c:v>1300</c:v>
                </c:pt>
                <c:pt idx="203">
                  <c:v>2374</c:v>
                </c:pt>
                <c:pt idx="204">
                  <c:v>1152</c:v>
                </c:pt>
                <c:pt idx="205">
                  <c:v>2417</c:v>
                </c:pt>
                <c:pt idx="206">
                  <c:v>2600</c:v>
                </c:pt>
                <c:pt idx="207">
                  <c:v>1083</c:v>
                </c:pt>
                <c:pt idx="208">
                  <c:v>0</c:v>
                </c:pt>
                <c:pt idx="209">
                  <c:v>4027</c:v>
                </c:pt>
                <c:pt idx="210">
                  <c:v>0</c:v>
                </c:pt>
                <c:pt idx="211">
                  <c:v>2400</c:v>
                </c:pt>
                <c:pt idx="212">
                  <c:v>0</c:v>
                </c:pt>
                <c:pt idx="213">
                  <c:v>0</c:v>
                </c:pt>
                <c:pt idx="214">
                  <c:v>3719</c:v>
                </c:pt>
                <c:pt idx="215">
                  <c:v>2130</c:v>
                </c:pt>
                <c:pt idx="216">
                  <c:v>2458</c:v>
                </c:pt>
                <c:pt idx="217">
                  <c:v>2183</c:v>
                </c:pt>
                <c:pt idx="218">
                  <c:v>3148</c:v>
                </c:pt>
                <c:pt idx="219">
                  <c:v>2139</c:v>
                </c:pt>
                <c:pt idx="220">
                  <c:v>2166</c:v>
                </c:pt>
                <c:pt idx="221">
                  <c:v>2168</c:v>
                </c:pt>
                <c:pt idx="222">
                  <c:v>0</c:v>
                </c:pt>
                <c:pt idx="223">
                  <c:v>0</c:v>
                </c:pt>
                <c:pt idx="224">
                  <c:v>0</c:v>
                </c:pt>
                <c:pt idx="225">
                  <c:v>0</c:v>
                </c:pt>
                <c:pt idx="226">
                  <c:v>1768</c:v>
                </c:pt>
                <c:pt idx="227">
                  <c:v>3809</c:v>
                </c:pt>
                <c:pt idx="228">
                  <c:v>2755</c:v>
                </c:pt>
                <c:pt idx="229">
                  <c:v>0</c:v>
                </c:pt>
                <c:pt idx="230">
                  <c:v>14507</c:v>
                </c:pt>
                <c:pt idx="231">
                  <c:v>2988</c:v>
                </c:pt>
                <c:pt idx="232">
                  <c:v>1594</c:v>
                </c:pt>
                <c:pt idx="233">
                  <c:v>0</c:v>
                </c:pt>
                <c:pt idx="234">
                  <c:v>1788</c:v>
                </c:pt>
                <c:pt idx="235">
                  <c:v>2774</c:v>
                </c:pt>
                <c:pt idx="236">
                  <c:v>5211</c:v>
                </c:pt>
                <c:pt idx="237">
                  <c:v>13983</c:v>
                </c:pt>
                <c:pt idx="238">
                  <c:v>1110</c:v>
                </c:pt>
                <c:pt idx="239">
                  <c:v>0</c:v>
                </c:pt>
                <c:pt idx="240">
                  <c:v>0</c:v>
                </c:pt>
                <c:pt idx="241">
                  <c:v>1517</c:v>
                </c:pt>
                <c:pt idx="242">
                  <c:v>828</c:v>
                </c:pt>
                <c:pt idx="243">
                  <c:v>1704</c:v>
                </c:pt>
                <c:pt idx="244">
                  <c:v>0</c:v>
                </c:pt>
                <c:pt idx="245">
                  <c:v>3145</c:v>
                </c:pt>
                <c:pt idx="246">
                  <c:v>2166</c:v>
                </c:pt>
                <c:pt idx="247">
                  <c:v>0</c:v>
                </c:pt>
                <c:pt idx="248">
                  <c:v>0</c:v>
                </c:pt>
                <c:pt idx="249">
                  <c:v>0</c:v>
                </c:pt>
                <c:pt idx="250">
                  <c:v>437</c:v>
                </c:pt>
                <c:pt idx="251">
                  <c:v>0</c:v>
                </c:pt>
                <c:pt idx="252">
                  <c:v>0</c:v>
                </c:pt>
                <c:pt idx="253">
                  <c:v>1025</c:v>
                </c:pt>
                <c:pt idx="254">
                  <c:v>1585</c:v>
                </c:pt>
                <c:pt idx="255">
                  <c:v>0</c:v>
                </c:pt>
                <c:pt idx="256">
                  <c:v>0</c:v>
                </c:pt>
                <c:pt idx="257">
                  <c:v>4288</c:v>
                </c:pt>
                <c:pt idx="258">
                  <c:v>3725</c:v>
                </c:pt>
                <c:pt idx="259">
                  <c:v>4583</c:v>
                </c:pt>
                <c:pt idx="260">
                  <c:v>2619</c:v>
                </c:pt>
                <c:pt idx="261">
                  <c:v>1550</c:v>
                </c:pt>
                <c:pt idx="262">
                  <c:v>738</c:v>
                </c:pt>
                <c:pt idx="263">
                  <c:v>0</c:v>
                </c:pt>
                <c:pt idx="264">
                  <c:v>1120</c:v>
                </c:pt>
                <c:pt idx="265">
                  <c:v>3308</c:v>
                </c:pt>
                <c:pt idx="266">
                  <c:v>1400</c:v>
                </c:pt>
                <c:pt idx="267">
                  <c:v>3575</c:v>
                </c:pt>
                <c:pt idx="268">
                  <c:v>750</c:v>
                </c:pt>
                <c:pt idx="269">
                  <c:v>0</c:v>
                </c:pt>
                <c:pt idx="270">
                  <c:v>2444</c:v>
                </c:pt>
                <c:pt idx="271">
                  <c:v>3916</c:v>
                </c:pt>
                <c:pt idx="272">
                  <c:v>0</c:v>
                </c:pt>
                <c:pt idx="273">
                  <c:v>440</c:v>
                </c:pt>
                <c:pt idx="274">
                  <c:v>0</c:v>
                </c:pt>
                <c:pt idx="275">
                  <c:v>1497</c:v>
                </c:pt>
                <c:pt idx="276">
                  <c:v>0</c:v>
                </c:pt>
                <c:pt idx="277">
                  <c:v>0</c:v>
                </c:pt>
                <c:pt idx="278">
                  <c:v>910</c:v>
                </c:pt>
                <c:pt idx="279">
                  <c:v>0</c:v>
                </c:pt>
                <c:pt idx="280">
                  <c:v>2057</c:v>
                </c:pt>
                <c:pt idx="281">
                  <c:v>0</c:v>
                </c:pt>
                <c:pt idx="282">
                  <c:v>0</c:v>
                </c:pt>
                <c:pt idx="283">
                  <c:v>0</c:v>
                </c:pt>
                <c:pt idx="284">
                  <c:v>11666</c:v>
                </c:pt>
                <c:pt idx="285">
                  <c:v>0</c:v>
                </c:pt>
                <c:pt idx="286">
                  <c:v>2730</c:v>
                </c:pt>
                <c:pt idx="287">
                  <c:v>4347</c:v>
                </c:pt>
                <c:pt idx="288">
                  <c:v>0</c:v>
                </c:pt>
                <c:pt idx="289">
                  <c:v>4000</c:v>
                </c:pt>
                <c:pt idx="290">
                  <c:v>2000</c:v>
                </c:pt>
                <c:pt idx="291">
                  <c:v>2833</c:v>
                </c:pt>
                <c:pt idx="292">
                  <c:v>0</c:v>
                </c:pt>
                <c:pt idx="293">
                  <c:v>2000</c:v>
                </c:pt>
                <c:pt idx="294">
                  <c:v>2565</c:v>
                </c:pt>
                <c:pt idx="295">
                  <c:v>0</c:v>
                </c:pt>
                <c:pt idx="296">
                  <c:v>0</c:v>
                </c:pt>
                <c:pt idx="297">
                  <c:v>0</c:v>
                </c:pt>
                <c:pt idx="298">
                  <c:v>0</c:v>
                </c:pt>
                <c:pt idx="299">
                  <c:v>0</c:v>
                </c:pt>
                <c:pt idx="300">
                  <c:v>0</c:v>
                </c:pt>
                <c:pt idx="301">
                  <c:v>0</c:v>
                </c:pt>
                <c:pt idx="302">
                  <c:v>0</c:v>
                </c:pt>
                <c:pt idx="303">
                  <c:v>2125</c:v>
                </c:pt>
                <c:pt idx="304">
                  <c:v>700</c:v>
                </c:pt>
                <c:pt idx="305">
                  <c:v>1083</c:v>
                </c:pt>
                <c:pt idx="306">
                  <c:v>0</c:v>
                </c:pt>
                <c:pt idx="307">
                  <c:v>0</c:v>
                </c:pt>
                <c:pt idx="308">
                  <c:v>0</c:v>
                </c:pt>
                <c:pt idx="309">
                  <c:v>4700</c:v>
                </c:pt>
                <c:pt idx="310">
                  <c:v>0</c:v>
                </c:pt>
                <c:pt idx="311">
                  <c:v>5272</c:v>
                </c:pt>
                <c:pt idx="312">
                  <c:v>2108</c:v>
                </c:pt>
                <c:pt idx="313">
                  <c:v>0</c:v>
                </c:pt>
                <c:pt idx="314">
                  <c:v>0</c:v>
                </c:pt>
                <c:pt idx="315">
                  <c:v>879</c:v>
                </c:pt>
                <c:pt idx="316">
                  <c:v>0</c:v>
                </c:pt>
                <c:pt idx="317">
                  <c:v>2900</c:v>
                </c:pt>
                <c:pt idx="318">
                  <c:v>0</c:v>
                </c:pt>
                <c:pt idx="319">
                  <c:v>2738</c:v>
                </c:pt>
                <c:pt idx="320">
                  <c:v>1542</c:v>
                </c:pt>
                <c:pt idx="321">
                  <c:v>1762</c:v>
                </c:pt>
                <c:pt idx="322">
                  <c:v>0</c:v>
                </c:pt>
                <c:pt idx="323">
                  <c:v>5000</c:v>
                </c:pt>
                <c:pt idx="324">
                  <c:v>0</c:v>
                </c:pt>
                <c:pt idx="325">
                  <c:v>2416</c:v>
                </c:pt>
                <c:pt idx="326">
                  <c:v>618</c:v>
                </c:pt>
                <c:pt idx="327">
                  <c:v>700</c:v>
                </c:pt>
                <c:pt idx="328">
                  <c:v>1411</c:v>
                </c:pt>
                <c:pt idx="329">
                  <c:v>1658</c:v>
                </c:pt>
                <c:pt idx="330">
                  <c:v>0</c:v>
                </c:pt>
                <c:pt idx="331">
                  <c:v>0</c:v>
                </c:pt>
                <c:pt idx="332">
                  <c:v>2717</c:v>
                </c:pt>
                <c:pt idx="333">
                  <c:v>0</c:v>
                </c:pt>
                <c:pt idx="334">
                  <c:v>1951</c:v>
                </c:pt>
                <c:pt idx="335">
                  <c:v>0</c:v>
                </c:pt>
                <c:pt idx="336">
                  <c:v>2000</c:v>
                </c:pt>
                <c:pt idx="337">
                  <c:v>1558</c:v>
                </c:pt>
              </c:numCache>
            </c:numRef>
          </c:yVal>
          <c:smooth val="0"/>
          <c:extLst>
            <c:ext xmlns:c16="http://schemas.microsoft.com/office/drawing/2014/chart" uri="{C3380CC4-5D6E-409C-BE32-E72D297353CC}">
              <c16:uniqueId val="{00000000-E3AE-4BEE-94D1-434D3BAA156F}"/>
            </c:ext>
          </c:extLst>
        </c:ser>
        <c:ser>
          <c:idx val="1"/>
          <c:order val="1"/>
          <c:tx>
            <c:strRef>
              <c:f>train!$I$1</c:f>
              <c:strCache>
                <c:ptCount val="1"/>
                <c:pt idx="0">
                  <c:v>LoanAmount</c:v>
                </c:pt>
              </c:strCache>
            </c:strRef>
          </c:tx>
          <c:spPr>
            <a:ln w="19050" cap="rnd">
              <a:noFill/>
              <a:round/>
            </a:ln>
            <a:effectLst/>
          </c:spPr>
          <c:marker>
            <c:symbol val="circle"/>
            <c:size val="5"/>
            <c:spPr>
              <a:solidFill>
                <a:schemeClr val="accent2"/>
              </a:solidFill>
              <a:ln w="9525">
                <a:solidFill>
                  <a:schemeClr val="accent2"/>
                </a:solidFill>
              </a:ln>
              <a:effectLst/>
            </c:spPr>
          </c:marker>
          <c:xVal>
            <c:numRef>
              <c:f>train!$G$2:$G$339</c:f>
              <c:numCache>
                <c:formatCode>General</c:formatCode>
                <c:ptCount val="338"/>
                <c:pt idx="0">
                  <c:v>5720</c:v>
                </c:pt>
                <c:pt idx="1">
                  <c:v>3076</c:v>
                </c:pt>
                <c:pt idx="2">
                  <c:v>5000</c:v>
                </c:pt>
                <c:pt idx="3">
                  <c:v>2340</c:v>
                </c:pt>
                <c:pt idx="4">
                  <c:v>3276</c:v>
                </c:pt>
                <c:pt idx="5">
                  <c:v>2165</c:v>
                </c:pt>
                <c:pt idx="6">
                  <c:v>2226</c:v>
                </c:pt>
                <c:pt idx="7">
                  <c:v>3881</c:v>
                </c:pt>
                <c:pt idx="8">
                  <c:v>13633</c:v>
                </c:pt>
                <c:pt idx="9">
                  <c:v>2400</c:v>
                </c:pt>
                <c:pt idx="10">
                  <c:v>3091</c:v>
                </c:pt>
                <c:pt idx="11">
                  <c:v>2185</c:v>
                </c:pt>
                <c:pt idx="12">
                  <c:v>4166</c:v>
                </c:pt>
                <c:pt idx="13">
                  <c:v>12173</c:v>
                </c:pt>
                <c:pt idx="14">
                  <c:v>4666</c:v>
                </c:pt>
                <c:pt idx="15">
                  <c:v>5667</c:v>
                </c:pt>
                <c:pt idx="16">
                  <c:v>4583</c:v>
                </c:pt>
                <c:pt idx="17">
                  <c:v>3786</c:v>
                </c:pt>
                <c:pt idx="18">
                  <c:v>9226</c:v>
                </c:pt>
                <c:pt idx="19">
                  <c:v>1300</c:v>
                </c:pt>
                <c:pt idx="20">
                  <c:v>1888</c:v>
                </c:pt>
                <c:pt idx="21">
                  <c:v>2083</c:v>
                </c:pt>
                <c:pt idx="22">
                  <c:v>3909</c:v>
                </c:pt>
                <c:pt idx="23">
                  <c:v>3765</c:v>
                </c:pt>
                <c:pt idx="24">
                  <c:v>5400</c:v>
                </c:pt>
                <c:pt idx="25">
                  <c:v>0</c:v>
                </c:pt>
                <c:pt idx="26">
                  <c:v>4363</c:v>
                </c:pt>
                <c:pt idx="27">
                  <c:v>7500</c:v>
                </c:pt>
                <c:pt idx="28">
                  <c:v>3772</c:v>
                </c:pt>
                <c:pt idx="29">
                  <c:v>2942</c:v>
                </c:pt>
                <c:pt idx="30">
                  <c:v>2478</c:v>
                </c:pt>
                <c:pt idx="31">
                  <c:v>6250</c:v>
                </c:pt>
                <c:pt idx="32">
                  <c:v>3268</c:v>
                </c:pt>
                <c:pt idx="33">
                  <c:v>2783</c:v>
                </c:pt>
                <c:pt idx="34">
                  <c:v>2740</c:v>
                </c:pt>
                <c:pt idx="35">
                  <c:v>3150</c:v>
                </c:pt>
                <c:pt idx="36">
                  <c:v>7350</c:v>
                </c:pt>
                <c:pt idx="37">
                  <c:v>2267</c:v>
                </c:pt>
                <c:pt idx="38">
                  <c:v>5833</c:v>
                </c:pt>
                <c:pt idx="39">
                  <c:v>3643</c:v>
                </c:pt>
                <c:pt idx="40">
                  <c:v>5629</c:v>
                </c:pt>
                <c:pt idx="41">
                  <c:v>3644</c:v>
                </c:pt>
                <c:pt idx="42">
                  <c:v>1750</c:v>
                </c:pt>
                <c:pt idx="43">
                  <c:v>6500</c:v>
                </c:pt>
                <c:pt idx="44">
                  <c:v>3666</c:v>
                </c:pt>
                <c:pt idx="45">
                  <c:v>4260</c:v>
                </c:pt>
                <c:pt idx="46">
                  <c:v>4163</c:v>
                </c:pt>
                <c:pt idx="47">
                  <c:v>2356</c:v>
                </c:pt>
                <c:pt idx="48">
                  <c:v>6792</c:v>
                </c:pt>
                <c:pt idx="49">
                  <c:v>8000</c:v>
                </c:pt>
                <c:pt idx="50">
                  <c:v>2419</c:v>
                </c:pt>
                <c:pt idx="51">
                  <c:v>3500</c:v>
                </c:pt>
                <c:pt idx="52">
                  <c:v>3500</c:v>
                </c:pt>
                <c:pt idx="53">
                  <c:v>4116</c:v>
                </c:pt>
                <c:pt idx="54">
                  <c:v>5293</c:v>
                </c:pt>
                <c:pt idx="55">
                  <c:v>2750</c:v>
                </c:pt>
                <c:pt idx="56">
                  <c:v>4402</c:v>
                </c:pt>
                <c:pt idx="57">
                  <c:v>3613</c:v>
                </c:pt>
                <c:pt idx="58">
                  <c:v>2779</c:v>
                </c:pt>
                <c:pt idx="59">
                  <c:v>4720</c:v>
                </c:pt>
                <c:pt idx="60">
                  <c:v>2415</c:v>
                </c:pt>
                <c:pt idx="61">
                  <c:v>7016</c:v>
                </c:pt>
                <c:pt idx="62">
                  <c:v>4968</c:v>
                </c:pt>
                <c:pt idx="63">
                  <c:v>2101</c:v>
                </c:pt>
                <c:pt idx="64">
                  <c:v>4490</c:v>
                </c:pt>
                <c:pt idx="65">
                  <c:v>2917</c:v>
                </c:pt>
                <c:pt idx="66">
                  <c:v>4700</c:v>
                </c:pt>
                <c:pt idx="67">
                  <c:v>3445</c:v>
                </c:pt>
                <c:pt idx="68">
                  <c:v>7666</c:v>
                </c:pt>
                <c:pt idx="69">
                  <c:v>2458</c:v>
                </c:pt>
                <c:pt idx="70">
                  <c:v>3250</c:v>
                </c:pt>
                <c:pt idx="71">
                  <c:v>4463</c:v>
                </c:pt>
                <c:pt idx="72">
                  <c:v>4083</c:v>
                </c:pt>
                <c:pt idx="73">
                  <c:v>3900</c:v>
                </c:pt>
                <c:pt idx="74">
                  <c:v>4750</c:v>
                </c:pt>
                <c:pt idx="75">
                  <c:v>3583</c:v>
                </c:pt>
                <c:pt idx="76">
                  <c:v>3189</c:v>
                </c:pt>
                <c:pt idx="77">
                  <c:v>6356</c:v>
                </c:pt>
                <c:pt idx="78">
                  <c:v>3413</c:v>
                </c:pt>
                <c:pt idx="79">
                  <c:v>7950</c:v>
                </c:pt>
                <c:pt idx="80">
                  <c:v>3829</c:v>
                </c:pt>
                <c:pt idx="81">
                  <c:v>72529</c:v>
                </c:pt>
                <c:pt idx="82">
                  <c:v>4136</c:v>
                </c:pt>
                <c:pt idx="83">
                  <c:v>8449</c:v>
                </c:pt>
                <c:pt idx="84">
                  <c:v>4456</c:v>
                </c:pt>
                <c:pt idx="85">
                  <c:v>4635</c:v>
                </c:pt>
                <c:pt idx="86">
                  <c:v>3571</c:v>
                </c:pt>
                <c:pt idx="87">
                  <c:v>3066</c:v>
                </c:pt>
                <c:pt idx="88">
                  <c:v>3235</c:v>
                </c:pt>
                <c:pt idx="89">
                  <c:v>5058</c:v>
                </c:pt>
                <c:pt idx="90">
                  <c:v>3188</c:v>
                </c:pt>
                <c:pt idx="91">
                  <c:v>13518</c:v>
                </c:pt>
                <c:pt idx="92">
                  <c:v>4364</c:v>
                </c:pt>
                <c:pt idx="93">
                  <c:v>4766</c:v>
                </c:pt>
                <c:pt idx="94">
                  <c:v>4609</c:v>
                </c:pt>
                <c:pt idx="95">
                  <c:v>6260</c:v>
                </c:pt>
                <c:pt idx="96">
                  <c:v>3333</c:v>
                </c:pt>
                <c:pt idx="97">
                  <c:v>3500</c:v>
                </c:pt>
                <c:pt idx="98">
                  <c:v>9719</c:v>
                </c:pt>
                <c:pt idx="99">
                  <c:v>6835</c:v>
                </c:pt>
                <c:pt idx="100">
                  <c:v>4452</c:v>
                </c:pt>
                <c:pt idx="101">
                  <c:v>2262</c:v>
                </c:pt>
                <c:pt idx="102">
                  <c:v>3901</c:v>
                </c:pt>
                <c:pt idx="103">
                  <c:v>2687</c:v>
                </c:pt>
                <c:pt idx="104">
                  <c:v>2243</c:v>
                </c:pt>
                <c:pt idx="105">
                  <c:v>3417</c:v>
                </c:pt>
                <c:pt idx="106">
                  <c:v>1596</c:v>
                </c:pt>
                <c:pt idx="107">
                  <c:v>4513</c:v>
                </c:pt>
                <c:pt idx="108">
                  <c:v>4500</c:v>
                </c:pt>
                <c:pt idx="109">
                  <c:v>4523</c:v>
                </c:pt>
                <c:pt idx="110">
                  <c:v>4742</c:v>
                </c:pt>
                <c:pt idx="111">
                  <c:v>4082</c:v>
                </c:pt>
                <c:pt idx="112">
                  <c:v>3417</c:v>
                </c:pt>
                <c:pt idx="113">
                  <c:v>2922</c:v>
                </c:pt>
                <c:pt idx="114">
                  <c:v>4167</c:v>
                </c:pt>
                <c:pt idx="115">
                  <c:v>4243</c:v>
                </c:pt>
                <c:pt idx="116">
                  <c:v>0</c:v>
                </c:pt>
                <c:pt idx="117">
                  <c:v>1516</c:v>
                </c:pt>
                <c:pt idx="118">
                  <c:v>1762</c:v>
                </c:pt>
                <c:pt idx="119">
                  <c:v>724</c:v>
                </c:pt>
                <c:pt idx="120">
                  <c:v>3125</c:v>
                </c:pt>
                <c:pt idx="121">
                  <c:v>2333</c:v>
                </c:pt>
                <c:pt idx="122">
                  <c:v>3350</c:v>
                </c:pt>
                <c:pt idx="123">
                  <c:v>2500</c:v>
                </c:pt>
                <c:pt idx="124">
                  <c:v>12500</c:v>
                </c:pt>
                <c:pt idx="125">
                  <c:v>4667</c:v>
                </c:pt>
                <c:pt idx="126">
                  <c:v>6500</c:v>
                </c:pt>
                <c:pt idx="127">
                  <c:v>7500</c:v>
                </c:pt>
                <c:pt idx="128">
                  <c:v>3073</c:v>
                </c:pt>
                <c:pt idx="129">
                  <c:v>3321</c:v>
                </c:pt>
                <c:pt idx="130">
                  <c:v>3333</c:v>
                </c:pt>
                <c:pt idx="131">
                  <c:v>3391</c:v>
                </c:pt>
                <c:pt idx="132">
                  <c:v>3343</c:v>
                </c:pt>
                <c:pt idx="133">
                  <c:v>3620</c:v>
                </c:pt>
                <c:pt idx="134">
                  <c:v>4000</c:v>
                </c:pt>
                <c:pt idx="135">
                  <c:v>4258</c:v>
                </c:pt>
                <c:pt idx="136">
                  <c:v>4500</c:v>
                </c:pt>
                <c:pt idx="137">
                  <c:v>2014</c:v>
                </c:pt>
                <c:pt idx="138">
                  <c:v>3333</c:v>
                </c:pt>
                <c:pt idx="139">
                  <c:v>4083</c:v>
                </c:pt>
                <c:pt idx="140">
                  <c:v>4727</c:v>
                </c:pt>
                <c:pt idx="141">
                  <c:v>3089</c:v>
                </c:pt>
                <c:pt idx="142">
                  <c:v>6794</c:v>
                </c:pt>
                <c:pt idx="143">
                  <c:v>32000</c:v>
                </c:pt>
                <c:pt idx="144">
                  <c:v>10890</c:v>
                </c:pt>
                <c:pt idx="145">
                  <c:v>12941</c:v>
                </c:pt>
                <c:pt idx="146">
                  <c:v>3276</c:v>
                </c:pt>
                <c:pt idx="147">
                  <c:v>8703</c:v>
                </c:pt>
                <c:pt idx="148">
                  <c:v>4742</c:v>
                </c:pt>
                <c:pt idx="149">
                  <c:v>5900</c:v>
                </c:pt>
                <c:pt idx="150">
                  <c:v>3071</c:v>
                </c:pt>
                <c:pt idx="151">
                  <c:v>2783</c:v>
                </c:pt>
                <c:pt idx="152">
                  <c:v>5000</c:v>
                </c:pt>
                <c:pt idx="153">
                  <c:v>2463</c:v>
                </c:pt>
                <c:pt idx="154">
                  <c:v>4855</c:v>
                </c:pt>
                <c:pt idx="155">
                  <c:v>1599</c:v>
                </c:pt>
                <c:pt idx="156">
                  <c:v>4246</c:v>
                </c:pt>
                <c:pt idx="157">
                  <c:v>4333</c:v>
                </c:pt>
                <c:pt idx="158">
                  <c:v>5823</c:v>
                </c:pt>
                <c:pt idx="159">
                  <c:v>7895</c:v>
                </c:pt>
                <c:pt idx="160">
                  <c:v>4150</c:v>
                </c:pt>
                <c:pt idx="161">
                  <c:v>2964</c:v>
                </c:pt>
                <c:pt idx="162">
                  <c:v>5583</c:v>
                </c:pt>
                <c:pt idx="163">
                  <c:v>2708</c:v>
                </c:pt>
                <c:pt idx="164">
                  <c:v>3180</c:v>
                </c:pt>
                <c:pt idx="165">
                  <c:v>2268</c:v>
                </c:pt>
                <c:pt idx="166">
                  <c:v>1141</c:v>
                </c:pt>
                <c:pt idx="167">
                  <c:v>3042</c:v>
                </c:pt>
                <c:pt idx="168">
                  <c:v>1750</c:v>
                </c:pt>
                <c:pt idx="169">
                  <c:v>3564</c:v>
                </c:pt>
                <c:pt idx="170">
                  <c:v>3958</c:v>
                </c:pt>
                <c:pt idx="171">
                  <c:v>4483</c:v>
                </c:pt>
                <c:pt idx="172">
                  <c:v>5225</c:v>
                </c:pt>
                <c:pt idx="173">
                  <c:v>3017</c:v>
                </c:pt>
                <c:pt idx="174">
                  <c:v>2431</c:v>
                </c:pt>
                <c:pt idx="175">
                  <c:v>4912</c:v>
                </c:pt>
                <c:pt idx="176">
                  <c:v>2500</c:v>
                </c:pt>
                <c:pt idx="177">
                  <c:v>2918</c:v>
                </c:pt>
                <c:pt idx="178">
                  <c:v>5128</c:v>
                </c:pt>
                <c:pt idx="179">
                  <c:v>15312</c:v>
                </c:pt>
                <c:pt idx="180">
                  <c:v>3958</c:v>
                </c:pt>
                <c:pt idx="181">
                  <c:v>4334</c:v>
                </c:pt>
                <c:pt idx="182">
                  <c:v>4358</c:v>
                </c:pt>
                <c:pt idx="183">
                  <c:v>4000</c:v>
                </c:pt>
                <c:pt idx="184">
                  <c:v>10166</c:v>
                </c:pt>
                <c:pt idx="185">
                  <c:v>4483</c:v>
                </c:pt>
                <c:pt idx="186">
                  <c:v>4521</c:v>
                </c:pt>
                <c:pt idx="187">
                  <c:v>9167</c:v>
                </c:pt>
                <c:pt idx="188">
                  <c:v>13083</c:v>
                </c:pt>
                <c:pt idx="189">
                  <c:v>7874</c:v>
                </c:pt>
                <c:pt idx="190">
                  <c:v>4333</c:v>
                </c:pt>
                <c:pt idx="191">
                  <c:v>4083</c:v>
                </c:pt>
                <c:pt idx="192">
                  <c:v>3785</c:v>
                </c:pt>
                <c:pt idx="193">
                  <c:v>2654</c:v>
                </c:pt>
                <c:pt idx="194">
                  <c:v>10000</c:v>
                </c:pt>
                <c:pt idx="195">
                  <c:v>5833</c:v>
                </c:pt>
                <c:pt idx="196">
                  <c:v>4796</c:v>
                </c:pt>
                <c:pt idx="197">
                  <c:v>2000</c:v>
                </c:pt>
                <c:pt idx="198">
                  <c:v>2540</c:v>
                </c:pt>
                <c:pt idx="199">
                  <c:v>1900</c:v>
                </c:pt>
                <c:pt idx="200">
                  <c:v>8706</c:v>
                </c:pt>
                <c:pt idx="201">
                  <c:v>2855</c:v>
                </c:pt>
                <c:pt idx="202">
                  <c:v>3016</c:v>
                </c:pt>
                <c:pt idx="203">
                  <c:v>3159</c:v>
                </c:pt>
                <c:pt idx="204">
                  <c:v>1937</c:v>
                </c:pt>
                <c:pt idx="205">
                  <c:v>2613</c:v>
                </c:pt>
                <c:pt idx="206">
                  <c:v>4960</c:v>
                </c:pt>
                <c:pt idx="207">
                  <c:v>3074</c:v>
                </c:pt>
                <c:pt idx="208">
                  <c:v>4213</c:v>
                </c:pt>
                <c:pt idx="209">
                  <c:v>2038</c:v>
                </c:pt>
                <c:pt idx="210">
                  <c:v>2362</c:v>
                </c:pt>
                <c:pt idx="211">
                  <c:v>5333</c:v>
                </c:pt>
                <c:pt idx="212">
                  <c:v>5384</c:v>
                </c:pt>
                <c:pt idx="213">
                  <c:v>5708</c:v>
                </c:pt>
                <c:pt idx="214">
                  <c:v>3754</c:v>
                </c:pt>
                <c:pt idx="215">
                  <c:v>2914</c:v>
                </c:pt>
                <c:pt idx="216">
                  <c:v>2747</c:v>
                </c:pt>
                <c:pt idx="217">
                  <c:v>7830</c:v>
                </c:pt>
                <c:pt idx="218">
                  <c:v>3507</c:v>
                </c:pt>
                <c:pt idx="219">
                  <c:v>3747</c:v>
                </c:pt>
                <c:pt idx="220">
                  <c:v>2166</c:v>
                </c:pt>
                <c:pt idx="221">
                  <c:v>3500</c:v>
                </c:pt>
                <c:pt idx="222">
                  <c:v>2896</c:v>
                </c:pt>
                <c:pt idx="223">
                  <c:v>5062</c:v>
                </c:pt>
                <c:pt idx="224">
                  <c:v>5184</c:v>
                </c:pt>
                <c:pt idx="225">
                  <c:v>2545</c:v>
                </c:pt>
                <c:pt idx="226">
                  <c:v>2553</c:v>
                </c:pt>
                <c:pt idx="227">
                  <c:v>3436</c:v>
                </c:pt>
                <c:pt idx="228">
                  <c:v>2412</c:v>
                </c:pt>
                <c:pt idx="229">
                  <c:v>5180</c:v>
                </c:pt>
                <c:pt idx="230">
                  <c:v>14911</c:v>
                </c:pt>
                <c:pt idx="231">
                  <c:v>2860</c:v>
                </c:pt>
                <c:pt idx="232">
                  <c:v>1173</c:v>
                </c:pt>
                <c:pt idx="233">
                  <c:v>7600</c:v>
                </c:pt>
                <c:pt idx="234">
                  <c:v>2157</c:v>
                </c:pt>
                <c:pt idx="235">
                  <c:v>2231</c:v>
                </c:pt>
                <c:pt idx="236">
                  <c:v>2274</c:v>
                </c:pt>
                <c:pt idx="237">
                  <c:v>6166</c:v>
                </c:pt>
                <c:pt idx="238">
                  <c:v>2513</c:v>
                </c:pt>
                <c:pt idx="239">
                  <c:v>4333</c:v>
                </c:pt>
                <c:pt idx="240">
                  <c:v>3844</c:v>
                </c:pt>
                <c:pt idx="241">
                  <c:v>3887</c:v>
                </c:pt>
                <c:pt idx="242">
                  <c:v>3510</c:v>
                </c:pt>
                <c:pt idx="243">
                  <c:v>2539</c:v>
                </c:pt>
                <c:pt idx="244">
                  <c:v>2107</c:v>
                </c:pt>
                <c:pt idx="245">
                  <c:v>3186</c:v>
                </c:pt>
                <c:pt idx="246">
                  <c:v>5000</c:v>
                </c:pt>
                <c:pt idx="247">
                  <c:v>10000</c:v>
                </c:pt>
                <c:pt idx="248">
                  <c:v>3943</c:v>
                </c:pt>
                <c:pt idx="249">
                  <c:v>2925</c:v>
                </c:pt>
                <c:pt idx="250">
                  <c:v>3242</c:v>
                </c:pt>
                <c:pt idx="251">
                  <c:v>3863</c:v>
                </c:pt>
                <c:pt idx="252">
                  <c:v>4028</c:v>
                </c:pt>
                <c:pt idx="253">
                  <c:v>4010</c:v>
                </c:pt>
                <c:pt idx="254">
                  <c:v>3719</c:v>
                </c:pt>
                <c:pt idx="255">
                  <c:v>2858</c:v>
                </c:pt>
                <c:pt idx="256">
                  <c:v>3833</c:v>
                </c:pt>
                <c:pt idx="257">
                  <c:v>3333</c:v>
                </c:pt>
                <c:pt idx="258">
                  <c:v>3007</c:v>
                </c:pt>
                <c:pt idx="259">
                  <c:v>1850</c:v>
                </c:pt>
                <c:pt idx="260">
                  <c:v>2792</c:v>
                </c:pt>
                <c:pt idx="261">
                  <c:v>2982</c:v>
                </c:pt>
                <c:pt idx="262">
                  <c:v>3417</c:v>
                </c:pt>
                <c:pt idx="263">
                  <c:v>18840</c:v>
                </c:pt>
                <c:pt idx="264">
                  <c:v>2995</c:v>
                </c:pt>
                <c:pt idx="265">
                  <c:v>3579</c:v>
                </c:pt>
                <c:pt idx="266">
                  <c:v>3835</c:v>
                </c:pt>
                <c:pt idx="267">
                  <c:v>3854</c:v>
                </c:pt>
                <c:pt idx="268">
                  <c:v>5833</c:v>
                </c:pt>
                <c:pt idx="269">
                  <c:v>3508</c:v>
                </c:pt>
                <c:pt idx="270">
                  <c:v>1635</c:v>
                </c:pt>
                <c:pt idx="271">
                  <c:v>3333</c:v>
                </c:pt>
                <c:pt idx="272">
                  <c:v>24797</c:v>
                </c:pt>
                <c:pt idx="273">
                  <c:v>5667</c:v>
                </c:pt>
                <c:pt idx="274">
                  <c:v>3500</c:v>
                </c:pt>
                <c:pt idx="275">
                  <c:v>2773</c:v>
                </c:pt>
                <c:pt idx="276">
                  <c:v>6500</c:v>
                </c:pt>
                <c:pt idx="277">
                  <c:v>5769</c:v>
                </c:pt>
                <c:pt idx="278">
                  <c:v>3634</c:v>
                </c:pt>
                <c:pt idx="279">
                  <c:v>29167</c:v>
                </c:pt>
                <c:pt idx="280">
                  <c:v>2166</c:v>
                </c:pt>
                <c:pt idx="281">
                  <c:v>5000</c:v>
                </c:pt>
                <c:pt idx="282">
                  <c:v>5530</c:v>
                </c:pt>
                <c:pt idx="283">
                  <c:v>9000</c:v>
                </c:pt>
                <c:pt idx="284">
                  <c:v>10000</c:v>
                </c:pt>
                <c:pt idx="285">
                  <c:v>8750</c:v>
                </c:pt>
                <c:pt idx="286">
                  <c:v>2157</c:v>
                </c:pt>
                <c:pt idx="287">
                  <c:v>1972</c:v>
                </c:pt>
                <c:pt idx="288">
                  <c:v>4983</c:v>
                </c:pt>
                <c:pt idx="289">
                  <c:v>8333</c:v>
                </c:pt>
                <c:pt idx="290">
                  <c:v>3667</c:v>
                </c:pt>
                <c:pt idx="291">
                  <c:v>3166</c:v>
                </c:pt>
                <c:pt idx="292">
                  <c:v>3271</c:v>
                </c:pt>
                <c:pt idx="293">
                  <c:v>2241</c:v>
                </c:pt>
                <c:pt idx="294">
                  <c:v>1792</c:v>
                </c:pt>
                <c:pt idx="295">
                  <c:v>2666</c:v>
                </c:pt>
                <c:pt idx="296">
                  <c:v>6478</c:v>
                </c:pt>
                <c:pt idx="297">
                  <c:v>3808</c:v>
                </c:pt>
                <c:pt idx="298">
                  <c:v>3729</c:v>
                </c:pt>
                <c:pt idx="299">
                  <c:v>4120</c:v>
                </c:pt>
                <c:pt idx="300">
                  <c:v>7500</c:v>
                </c:pt>
                <c:pt idx="301">
                  <c:v>6300</c:v>
                </c:pt>
                <c:pt idx="302">
                  <c:v>14987</c:v>
                </c:pt>
                <c:pt idx="303">
                  <c:v>570</c:v>
                </c:pt>
                <c:pt idx="304">
                  <c:v>2600</c:v>
                </c:pt>
                <c:pt idx="305">
                  <c:v>2733</c:v>
                </c:pt>
                <c:pt idx="306">
                  <c:v>7500</c:v>
                </c:pt>
                <c:pt idx="307">
                  <c:v>3859</c:v>
                </c:pt>
                <c:pt idx="308">
                  <c:v>6825</c:v>
                </c:pt>
                <c:pt idx="309">
                  <c:v>3708</c:v>
                </c:pt>
                <c:pt idx="310">
                  <c:v>5314</c:v>
                </c:pt>
                <c:pt idx="311">
                  <c:v>2366</c:v>
                </c:pt>
                <c:pt idx="312">
                  <c:v>2066</c:v>
                </c:pt>
                <c:pt idx="313">
                  <c:v>5000</c:v>
                </c:pt>
                <c:pt idx="314">
                  <c:v>3767</c:v>
                </c:pt>
                <c:pt idx="315">
                  <c:v>7859</c:v>
                </c:pt>
                <c:pt idx="316">
                  <c:v>4283</c:v>
                </c:pt>
                <c:pt idx="317">
                  <c:v>1700</c:v>
                </c:pt>
                <c:pt idx="318">
                  <c:v>4768</c:v>
                </c:pt>
                <c:pt idx="319">
                  <c:v>3083</c:v>
                </c:pt>
                <c:pt idx="320">
                  <c:v>2667</c:v>
                </c:pt>
                <c:pt idx="321">
                  <c:v>1647</c:v>
                </c:pt>
                <c:pt idx="322">
                  <c:v>3400</c:v>
                </c:pt>
                <c:pt idx="323">
                  <c:v>16000</c:v>
                </c:pt>
                <c:pt idx="324">
                  <c:v>5333</c:v>
                </c:pt>
                <c:pt idx="325">
                  <c:v>2875</c:v>
                </c:pt>
                <c:pt idx="326">
                  <c:v>2600</c:v>
                </c:pt>
                <c:pt idx="327">
                  <c:v>5041</c:v>
                </c:pt>
                <c:pt idx="328">
                  <c:v>6958</c:v>
                </c:pt>
                <c:pt idx="329">
                  <c:v>3500</c:v>
                </c:pt>
                <c:pt idx="330">
                  <c:v>5509</c:v>
                </c:pt>
                <c:pt idx="331">
                  <c:v>9699</c:v>
                </c:pt>
                <c:pt idx="332">
                  <c:v>3621</c:v>
                </c:pt>
                <c:pt idx="333">
                  <c:v>4709</c:v>
                </c:pt>
                <c:pt idx="334">
                  <c:v>1516</c:v>
                </c:pt>
                <c:pt idx="335">
                  <c:v>2400</c:v>
                </c:pt>
                <c:pt idx="336">
                  <c:v>3015</c:v>
                </c:pt>
                <c:pt idx="337">
                  <c:v>2292</c:v>
                </c:pt>
              </c:numCache>
            </c:numRef>
          </c:xVal>
          <c:yVal>
            <c:numRef>
              <c:f>train!$I$2:$I$339</c:f>
              <c:numCache>
                <c:formatCode>General</c:formatCode>
                <c:ptCount val="338"/>
                <c:pt idx="0">
                  <c:v>110</c:v>
                </c:pt>
                <c:pt idx="1">
                  <c:v>126</c:v>
                </c:pt>
                <c:pt idx="2">
                  <c:v>208</c:v>
                </c:pt>
                <c:pt idx="3">
                  <c:v>100</c:v>
                </c:pt>
                <c:pt idx="4">
                  <c:v>78</c:v>
                </c:pt>
                <c:pt idx="5">
                  <c:v>152</c:v>
                </c:pt>
                <c:pt idx="6">
                  <c:v>59</c:v>
                </c:pt>
                <c:pt idx="7">
                  <c:v>147</c:v>
                </c:pt>
                <c:pt idx="8">
                  <c:v>280</c:v>
                </c:pt>
                <c:pt idx="9">
                  <c:v>123</c:v>
                </c:pt>
                <c:pt idx="10">
                  <c:v>90</c:v>
                </c:pt>
                <c:pt idx="11">
                  <c:v>162</c:v>
                </c:pt>
                <c:pt idx="12">
                  <c:v>40</c:v>
                </c:pt>
                <c:pt idx="13">
                  <c:v>166</c:v>
                </c:pt>
                <c:pt idx="14">
                  <c:v>124</c:v>
                </c:pt>
                <c:pt idx="15">
                  <c:v>131</c:v>
                </c:pt>
                <c:pt idx="16">
                  <c:v>200</c:v>
                </c:pt>
                <c:pt idx="17">
                  <c:v>126</c:v>
                </c:pt>
                <c:pt idx="18">
                  <c:v>300</c:v>
                </c:pt>
                <c:pt idx="19">
                  <c:v>100</c:v>
                </c:pt>
                <c:pt idx="20">
                  <c:v>48</c:v>
                </c:pt>
                <c:pt idx="21">
                  <c:v>28</c:v>
                </c:pt>
                <c:pt idx="22">
                  <c:v>101</c:v>
                </c:pt>
                <c:pt idx="23">
                  <c:v>125</c:v>
                </c:pt>
                <c:pt idx="24">
                  <c:v>290</c:v>
                </c:pt>
                <c:pt idx="25">
                  <c:v>148</c:v>
                </c:pt>
                <c:pt idx="26">
                  <c:v>140</c:v>
                </c:pt>
                <c:pt idx="27">
                  <c:v>275</c:v>
                </c:pt>
                <c:pt idx="28">
                  <c:v>57</c:v>
                </c:pt>
                <c:pt idx="29">
                  <c:v>125</c:v>
                </c:pt>
                <c:pt idx="30">
                  <c:v>75</c:v>
                </c:pt>
                <c:pt idx="31">
                  <c:v>192</c:v>
                </c:pt>
                <c:pt idx="32">
                  <c:v>152</c:v>
                </c:pt>
                <c:pt idx="33">
                  <c:v>158</c:v>
                </c:pt>
                <c:pt idx="34">
                  <c:v>101</c:v>
                </c:pt>
                <c:pt idx="35">
                  <c:v>176</c:v>
                </c:pt>
                <c:pt idx="36">
                  <c:v>185</c:v>
                </c:pt>
                <c:pt idx="37">
                  <c:v>90</c:v>
                </c:pt>
                <c:pt idx="38">
                  <c:v>116</c:v>
                </c:pt>
                <c:pt idx="39">
                  <c:v>138</c:v>
                </c:pt>
                <c:pt idx="40">
                  <c:v>100</c:v>
                </c:pt>
                <c:pt idx="41">
                  <c:v>110</c:v>
                </c:pt>
                <c:pt idx="42">
                  <c:v>90</c:v>
                </c:pt>
                <c:pt idx="43">
                  <c:v>200</c:v>
                </c:pt>
                <c:pt idx="44">
                  <c:v>84</c:v>
                </c:pt>
                <c:pt idx="45">
                  <c:v>185</c:v>
                </c:pt>
                <c:pt idx="46">
                  <c:v>162</c:v>
                </c:pt>
                <c:pt idx="47">
                  <c:v>108</c:v>
                </c:pt>
                <c:pt idx="48">
                  <c:v>187</c:v>
                </c:pt>
                <c:pt idx="49">
                  <c:v>187</c:v>
                </c:pt>
                <c:pt idx="50">
                  <c:v>124</c:v>
                </c:pt>
                <c:pt idx="51">
                  <c:v>120</c:v>
                </c:pt>
                <c:pt idx="52">
                  <c:v>160</c:v>
                </c:pt>
                <c:pt idx="53">
                  <c:v>30</c:v>
                </c:pt>
                <c:pt idx="54">
                  <c:v>92</c:v>
                </c:pt>
                <c:pt idx="55">
                  <c:v>130</c:v>
                </c:pt>
                <c:pt idx="56">
                  <c:v>130</c:v>
                </c:pt>
                <c:pt idx="57">
                  <c:v>134</c:v>
                </c:pt>
                <c:pt idx="58">
                  <c:v>176</c:v>
                </c:pt>
                <c:pt idx="59">
                  <c:v>90</c:v>
                </c:pt>
                <c:pt idx="60">
                  <c:v>110</c:v>
                </c:pt>
                <c:pt idx="61">
                  <c:v>125</c:v>
                </c:pt>
                <c:pt idx="62">
                  <c:v>189</c:v>
                </c:pt>
                <c:pt idx="63">
                  <c:v>108</c:v>
                </c:pt>
                <c:pt idx="64">
                  <c:v>125</c:v>
                </c:pt>
                <c:pt idx="65">
                  <c:v>138</c:v>
                </c:pt>
                <c:pt idx="66">
                  <c:v>135</c:v>
                </c:pt>
                <c:pt idx="67">
                  <c:v>130</c:v>
                </c:pt>
                <c:pt idx="68">
                  <c:v>187</c:v>
                </c:pt>
                <c:pt idx="69">
                  <c:v>188</c:v>
                </c:pt>
                <c:pt idx="70">
                  <c:v>95</c:v>
                </c:pt>
                <c:pt idx="71">
                  <c:v>65</c:v>
                </c:pt>
                <c:pt idx="72">
                  <c:v>139</c:v>
                </c:pt>
                <c:pt idx="73">
                  <c:v>232</c:v>
                </c:pt>
                <c:pt idx="74">
                  <c:v>144</c:v>
                </c:pt>
                <c:pt idx="75">
                  <c:v>155</c:v>
                </c:pt>
                <c:pt idx="76">
                  <c:v>186</c:v>
                </c:pt>
                <c:pt idx="77">
                  <c:v>50</c:v>
                </c:pt>
                <c:pt idx="78">
                  <c:v>185</c:v>
                </c:pt>
                <c:pt idx="79">
                  <c:v>163</c:v>
                </c:pt>
                <c:pt idx="80">
                  <c:v>360</c:v>
                </c:pt>
                <c:pt idx="81">
                  <c:v>149</c:v>
                </c:pt>
                <c:pt idx="82">
                  <c:v>257</c:v>
                </c:pt>
                <c:pt idx="83">
                  <c:v>131</c:v>
                </c:pt>
                <c:pt idx="84">
                  <c:v>102</c:v>
                </c:pt>
                <c:pt idx="85">
                  <c:v>135</c:v>
                </c:pt>
                <c:pt idx="86">
                  <c:v>95</c:v>
                </c:pt>
                <c:pt idx="87">
                  <c:v>77</c:v>
                </c:pt>
                <c:pt idx="88">
                  <c:v>200</c:v>
                </c:pt>
                <c:pt idx="89">
                  <c:v>130</c:v>
                </c:pt>
                <c:pt idx="90">
                  <c:v>390</c:v>
                </c:pt>
                <c:pt idx="91">
                  <c:v>185</c:v>
                </c:pt>
                <c:pt idx="92">
                  <c:v>100</c:v>
                </c:pt>
                <c:pt idx="93">
                  <c:v>123</c:v>
                </c:pt>
                <c:pt idx="94">
                  <c:v>110</c:v>
                </c:pt>
                <c:pt idx="95">
                  <c:v>256</c:v>
                </c:pt>
                <c:pt idx="96">
                  <c:v>140</c:v>
                </c:pt>
                <c:pt idx="97">
                  <c:v>61</c:v>
                </c:pt>
                <c:pt idx="98">
                  <c:v>188</c:v>
                </c:pt>
                <c:pt idx="99">
                  <c:v>131</c:v>
                </c:pt>
                <c:pt idx="100">
                  <c:v>116</c:v>
                </c:pt>
                <c:pt idx="101">
                  <c:v>50</c:v>
                </c:pt>
                <c:pt idx="102">
                  <c:v>107</c:v>
                </c:pt>
                <c:pt idx="103">
                  <c:v>200</c:v>
                </c:pt>
                <c:pt idx="104">
                  <c:v>119</c:v>
                </c:pt>
                <c:pt idx="105">
                  <c:v>120</c:v>
                </c:pt>
                <c:pt idx="106">
                  <c:v>140</c:v>
                </c:pt>
                <c:pt idx="107">
                  <c:v>165</c:v>
                </c:pt>
                <c:pt idx="108">
                  <c:v>108</c:v>
                </c:pt>
                <c:pt idx="109">
                  <c:v>93</c:v>
                </c:pt>
                <c:pt idx="110">
                  <c:v>102</c:v>
                </c:pt>
                <c:pt idx="111">
                  <c:v>122</c:v>
                </c:pt>
                <c:pt idx="112">
                  <c:v>160</c:v>
                </c:pt>
                <c:pt idx="113">
                  <c:v>157</c:v>
                </c:pt>
                <c:pt idx="114">
                  <c:v>180</c:v>
                </c:pt>
                <c:pt idx="115">
                  <c:v>80</c:v>
                </c:pt>
                <c:pt idx="116">
                  <c:v>104</c:v>
                </c:pt>
                <c:pt idx="117">
                  <c:v>213</c:v>
                </c:pt>
                <c:pt idx="118">
                  <c:v>65</c:v>
                </c:pt>
                <c:pt idx="119">
                  <c:v>146</c:v>
                </c:pt>
                <c:pt idx="120">
                  <c:v>135</c:v>
                </c:pt>
                <c:pt idx="121">
                  <c:v>187</c:v>
                </c:pt>
                <c:pt idx="122">
                  <c:v>300</c:v>
                </c:pt>
                <c:pt idx="123">
                  <c:v>120</c:v>
                </c:pt>
                <c:pt idx="124">
                  <c:v>71</c:v>
                </c:pt>
                <c:pt idx="125">
                  <c:v>225</c:v>
                </c:pt>
                <c:pt idx="126">
                  <c:v>70</c:v>
                </c:pt>
                <c:pt idx="127">
                  <c:v>70</c:v>
                </c:pt>
                <c:pt idx="128">
                  <c:v>124</c:v>
                </c:pt>
                <c:pt idx="129">
                  <c:v>132</c:v>
                </c:pt>
                <c:pt idx="130">
                  <c:v>105</c:v>
                </c:pt>
                <c:pt idx="131">
                  <c:v>90</c:v>
                </c:pt>
                <c:pt idx="132">
                  <c:v>83</c:v>
                </c:pt>
                <c:pt idx="133">
                  <c:v>125</c:v>
                </c:pt>
                <c:pt idx="134">
                  <c:v>147</c:v>
                </c:pt>
                <c:pt idx="135">
                  <c:v>120</c:v>
                </c:pt>
                <c:pt idx="136">
                  <c:v>110</c:v>
                </c:pt>
                <c:pt idx="137">
                  <c:v>103</c:v>
                </c:pt>
                <c:pt idx="138">
                  <c:v>150</c:v>
                </c:pt>
                <c:pt idx="139">
                  <c:v>100</c:v>
                </c:pt>
                <c:pt idx="140">
                  <c:v>139</c:v>
                </c:pt>
                <c:pt idx="141">
                  <c:v>550</c:v>
                </c:pt>
                <c:pt idx="142">
                  <c:v>260</c:v>
                </c:pt>
                <c:pt idx="143">
                  <c:v>150</c:v>
                </c:pt>
                <c:pt idx="144">
                  <c:v>90</c:v>
                </c:pt>
                <c:pt idx="145">
                  <c:v>199</c:v>
                </c:pt>
                <c:pt idx="146">
                  <c:v>139</c:v>
                </c:pt>
                <c:pt idx="147">
                  <c:v>150</c:v>
                </c:pt>
                <c:pt idx="148">
                  <c:v>180</c:v>
                </c:pt>
                <c:pt idx="149">
                  <c:v>113</c:v>
                </c:pt>
                <c:pt idx="150">
                  <c:v>148</c:v>
                </c:pt>
                <c:pt idx="151">
                  <c:v>117</c:v>
                </c:pt>
                <c:pt idx="152">
                  <c:v>72</c:v>
                </c:pt>
                <c:pt idx="153">
                  <c:v>125</c:v>
                </c:pt>
                <c:pt idx="154">
                  <c:v>214</c:v>
                </c:pt>
                <c:pt idx="155">
                  <c:v>133</c:v>
                </c:pt>
                <c:pt idx="156">
                  <c:v>187</c:v>
                </c:pt>
                <c:pt idx="157">
                  <c:v>143</c:v>
                </c:pt>
                <c:pt idx="158">
                  <c:v>209</c:v>
                </c:pt>
                <c:pt idx="159">
                  <c:v>84</c:v>
                </c:pt>
                <c:pt idx="160">
                  <c:v>116</c:v>
                </c:pt>
                <c:pt idx="161">
                  <c:v>65</c:v>
                </c:pt>
                <c:pt idx="162">
                  <c:v>80</c:v>
                </c:pt>
                <c:pt idx="163">
                  <c:v>170</c:v>
                </c:pt>
                <c:pt idx="164">
                  <c:v>120</c:v>
                </c:pt>
                <c:pt idx="165">
                  <c:v>135</c:v>
                </c:pt>
                <c:pt idx="166">
                  <c:v>94</c:v>
                </c:pt>
                <c:pt idx="167">
                  <c:v>79</c:v>
                </c:pt>
                <c:pt idx="168">
                  <c:v>110</c:v>
                </c:pt>
                <c:pt idx="169">
                  <c:v>130</c:v>
                </c:pt>
                <c:pt idx="170">
                  <c:v>143</c:v>
                </c:pt>
                <c:pt idx="171">
                  <c:v>159</c:v>
                </c:pt>
                <c:pt idx="172">
                  <c:v>110</c:v>
                </c:pt>
                <c:pt idx="173">
                  <c:v>160</c:v>
                </c:pt>
                <c:pt idx="174">
                  <c:v>131</c:v>
                </c:pt>
                <c:pt idx="175">
                  <c:v>65</c:v>
                </c:pt>
                <c:pt idx="176">
                  <c:v>143</c:v>
                </c:pt>
                <c:pt idx="177">
                  <c:v>187</c:v>
                </c:pt>
                <c:pt idx="178">
                  <c:v>160</c:v>
                </c:pt>
                <c:pt idx="179">
                  <c:v>165</c:v>
                </c:pt>
                <c:pt idx="180">
                  <c:v>110</c:v>
                </c:pt>
                <c:pt idx="181">
                  <c:v>173</c:v>
                </c:pt>
                <c:pt idx="182">
                  <c:v>150</c:v>
                </c:pt>
                <c:pt idx="183">
                  <c:v>135</c:v>
                </c:pt>
                <c:pt idx="184">
                  <c:v>150</c:v>
                </c:pt>
                <c:pt idx="185">
                  <c:v>235</c:v>
                </c:pt>
                <c:pt idx="186">
                  <c:v>336</c:v>
                </c:pt>
                <c:pt idx="187">
                  <c:v>132</c:v>
                </c:pt>
                <c:pt idx="188">
                  <c:v>96</c:v>
                </c:pt>
                <c:pt idx="189">
                  <c:v>180</c:v>
                </c:pt>
                <c:pt idx="190">
                  <c:v>128</c:v>
                </c:pt>
                <c:pt idx="191">
                  <c:v>412</c:v>
                </c:pt>
                <c:pt idx="192">
                  <c:v>116</c:v>
                </c:pt>
                <c:pt idx="193">
                  <c:v>114</c:v>
                </c:pt>
                <c:pt idx="194">
                  <c:v>115</c:v>
                </c:pt>
                <c:pt idx="195">
                  <c:v>104</c:v>
                </c:pt>
                <c:pt idx="196">
                  <c:v>88</c:v>
                </c:pt>
                <c:pt idx="197">
                  <c:v>108</c:v>
                </c:pt>
                <c:pt idx="198">
                  <c:v>90</c:v>
                </c:pt>
                <c:pt idx="199">
                  <c:v>100</c:v>
                </c:pt>
                <c:pt idx="200">
                  <c:v>108</c:v>
                </c:pt>
                <c:pt idx="201">
                  <c:v>78</c:v>
                </c:pt>
                <c:pt idx="202">
                  <c:v>123</c:v>
                </c:pt>
                <c:pt idx="203">
                  <c:v>187</c:v>
                </c:pt>
                <c:pt idx="204">
                  <c:v>146</c:v>
                </c:pt>
                <c:pt idx="205">
                  <c:v>80</c:v>
                </c:pt>
                <c:pt idx="206">
                  <c:v>100</c:v>
                </c:pt>
                <c:pt idx="207">
                  <c:v>55</c:v>
                </c:pt>
                <c:pt idx="208">
                  <c:v>200</c:v>
                </c:pt>
                <c:pt idx="209">
                  <c:v>150</c:v>
                </c:pt>
                <c:pt idx="210">
                  <c:v>150</c:v>
                </c:pt>
                <c:pt idx="211">
                  <c:v>118</c:v>
                </c:pt>
                <c:pt idx="212">
                  <c:v>150</c:v>
                </c:pt>
                <c:pt idx="213">
                  <c:v>118</c:v>
                </c:pt>
                <c:pt idx="214">
                  <c:v>212</c:v>
                </c:pt>
                <c:pt idx="215">
                  <c:v>212</c:v>
                </c:pt>
                <c:pt idx="216">
                  <c:v>125</c:v>
                </c:pt>
                <c:pt idx="217">
                  <c:v>108</c:v>
                </c:pt>
                <c:pt idx="218">
                  <c:v>149</c:v>
                </c:pt>
                <c:pt idx="219">
                  <c:v>80</c:v>
                </c:pt>
                <c:pt idx="220">
                  <c:v>152</c:v>
                </c:pt>
                <c:pt idx="221">
                  <c:v>187</c:v>
                </c:pt>
                <c:pt idx="222">
                  <c:v>74</c:v>
                </c:pt>
                <c:pt idx="223">
                  <c:v>102</c:v>
                </c:pt>
                <c:pt idx="224">
                  <c:v>100</c:v>
                </c:pt>
                <c:pt idx="225">
                  <c:v>130</c:v>
                </c:pt>
                <c:pt idx="226">
                  <c:v>125</c:v>
                </c:pt>
                <c:pt idx="227">
                  <c:v>130</c:v>
                </c:pt>
                <c:pt idx="228">
                  <c:v>138</c:v>
                </c:pt>
                <c:pt idx="229">
                  <c:v>28</c:v>
                </c:pt>
                <c:pt idx="230">
                  <c:v>92</c:v>
                </c:pt>
                <c:pt idx="231">
                  <c:v>104</c:v>
                </c:pt>
                <c:pt idx="232">
                  <c:v>176</c:v>
                </c:pt>
                <c:pt idx="233">
                  <c:v>117</c:v>
                </c:pt>
                <c:pt idx="234">
                  <c:v>102</c:v>
                </c:pt>
                <c:pt idx="235">
                  <c:v>107</c:v>
                </c:pt>
                <c:pt idx="236">
                  <c:v>66</c:v>
                </c:pt>
                <c:pt idx="237">
                  <c:v>105</c:v>
                </c:pt>
                <c:pt idx="238">
                  <c:v>105</c:v>
                </c:pt>
                <c:pt idx="239">
                  <c:v>105</c:v>
                </c:pt>
                <c:pt idx="240">
                  <c:v>125</c:v>
                </c:pt>
                <c:pt idx="241">
                  <c:v>64</c:v>
                </c:pt>
                <c:pt idx="242">
                  <c:v>150</c:v>
                </c:pt>
                <c:pt idx="243">
                  <c:v>150</c:v>
                </c:pt>
                <c:pt idx="244">
                  <c:v>64</c:v>
                </c:pt>
                <c:pt idx="245">
                  <c:v>40</c:v>
                </c:pt>
                <c:pt idx="246">
                  <c:v>142</c:v>
                </c:pt>
                <c:pt idx="247">
                  <c:v>70</c:v>
                </c:pt>
                <c:pt idx="248">
                  <c:v>131</c:v>
                </c:pt>
                <c:pt idx="249">
                  <c:v>120</c:v>
                </c:pt>
                <c:pt idx="250">
                  <c:v>114</c:v>
                </c:pt>
                <c:pt idx="251">
                  <c:v>123</c:v>
                </c:pt>
                <c:pt idx="252">
                  <c:v>92</c:v>
                </c:pt>
                <c:pt idx="253">
                  <c:v>160</c:v>
                </c:pt>
                <c:pt idx="254">
                  <c:v>151</c:v>
                </c:pt>
                <c:pt idx="255">
                  <c:v>81</c:v>
                </c:pt>
                <c:pt idx="256">
                  <c:v>171</c:v>
                </c:pt>
                <c:pt idx="257">
                  <c:v>110</c:v>
                </c:pt>
                <c:pt idx="258">
                  <c:v>100</c:v>
                </c:pt>
                <c:pt idx="259">
                  <c:v>234</c:v>
                </c:pt>
                <c:pt idx="260">
                  <c:v>184</c:v>
                </c:pt>
                <c:pt idx="261">
                  <c:v>138</c:v>
                </c:pt>
                <c:pt idx="262">
                  <c:v>112</c:v>
                </c:pt>
                <c:pt idx="263">
                  <c:v>117</c:v>
                </c:pt>
                <c:pt idx="264">
                  <c:v>49</c:v>
                </c:pt>
                <c:pt idx="265">
                  <c:v>99</c:v>
                </c:pt>
                <c:pt idx="266">
                  <c:v>99</c:v>
                </c:pt>
                <c:pt idx="267">
                  <c:v>212</c:v>
                </c:pt>
                <c:pt idx="268">
                  <c:v>240</c:v>
                </c:pt>
                <c:pt idx="269">
                  <c:v>130</c:v>
                </c:pt>
                <c:pt idx="270">
                  <c:v>94</c:v>
                </c:pt>
                <c:pt idx="271">
                  <c:v>108</c:v>
                </c:pt>
                <c:pt idx="272">
                  <c:v>144</c:v>
                </c:pt>
                <c:pt idx="273">
                  <c:v>110</c:v>
                </c:pt>
                <c:pt idx="274">
                  <c:v>176</c:v>
                </c:pt>
                <c:pt idx="275">
                  <c:v>185</c:v>
                </c:pt>
                <c:pt idx="276">
                  <c:v>122</c:v>
                </c:pt>
                <c:pt idx="277">
                  <c:v>126</c:v>
                </c:pt>
                <c:pt idx="278">
                  <c:v>135</c:v>
                </c:pt>
                <c:pt idx="279">
                  <c:v>122</c:v>
                </c:pt>
                <c:pt idx="280">
                  <c:v>460</c:v>
                </c:pt>
                <c:pt idx="281">
                  <c:v>297</c:v>
                </c:pt>
                <c:pt idx="282">
                  <c:v>140</c:v>
                </c:pt>
                <c:pt idx="283">
                  <c:v>106</c:v>
                </c:pt>
                <c:pt idx="284">
                  <c:v>141</c:v>
                </c:pt>
                <c:pt idx="285">
                  <c:v>170</c:v>
                </c:pt>
                <c:pt idx="286">
                  <c:v>145</c:v>
                </c:pt>
                <c:pt idx="287">
                  <c:v>90</c:v>
                </c:pt>
                <c:pt idx="288">
                  <c:v>88</c:v>
                </c:pt>
                <c:pt idx="289">
                  <c:v>128</c:v>
                </c:pt>
                <c:pt idx="290">
                  <c:v>84</c:v>
                </c:pt>
                <c:pt idx="291">
                  <c:v>108</c:v>
                </c:pt>
                <c:pt idx="292">
                  <c:v>83</c:v>
                </c:pt>
                <c:pt idx="293">
                  <c:v>117</c:v>
                </c:pt>
                <c:pt idx="294">
                  <c:v>128</c:v>
                </c:pt>
                <c:pt idx="295">
                  <c:v>75</c:v>
                </c:pt>
                <c:pt idx="296">
                  <c:v>125</c:v>
                </c:pt>
                <c:pt idx="297">
                  <c:v>177</c:v>
                </c:pt>
                <c:pt idx="298">
                  <c:v>68</c:v>
                </c:pt>
                <c:pt idx="299">
                  <c:v>96</c:v>
                </c:pt>
                <c:pt idx="300">
                  <c:v>180</c:v>
                </c:pt>
                <c:pt idx="301">
                  <c:v>183</c:v>
                </c:pt>
                <c:pt idx="302">
                  <c:v>121</c:v>
                </c:pt>
                <c:pt idx="303">
                  <c:v>162</c:v>
                </c:pt>
                <c:pt idx="304">
                  <c:v>132</c:v>
                </c:pt>
                <c:pt idx="305">
                  <c:v>147</c:v>
                </c:pt>
                <c:pt idx="306">
                  <c:v>153</c:v>
                </c:pt>
                <c:pt idx="307">
                  <c:v>104</c:v>
                </c:pt>
                <c:pt idx="308">
                  <c:v>149</c:v>
                </c:pt>
                <c:pt idx="309">
                  <c:v>134</c:v>
                </c:pt>
                <c:pt idx="310">
                  <c:v>165</c:v>
                </c:pt>
                <c:pt idx="311">
                  <c:v>120</c:v>
                </c:pt>
                <c:pt idx="312">
                  <c:v>67</c:v>
                </c:pt>
                <c:pt idx="313">
                  <c:v>125</c:v>
                </c:pt>
                <c:pt idx="314">
                  <c:v>120</c:v>
                </c:pt>
                <c:pt idx="315">
                  <c:v>148</c:v>
                </c:pt>
                <c:pt idx="316">
                  <c:v>181</c:v>
                </c:pt>
                <c:pt idx="317">
                  <c:v>80</c:v>
                </c:pt>
                <c:pt idx="318">
                  <c:v>40</c:v>
                </c:pt>
                <c:pt idx="319">
                  <c:v>90</c:v>
                </c:pt>
                <c:pt idx="320">
                  <c:v>95</c:v>
                </c:pt>
                <c:pt idx="321">
                  <c:v>122</c:v>
                </c:pt>
                <c:pt idx="322">
                  <c:v>150</c:v>
                </c:pt>
                <c:pt idx="323">
                  <c:v>150</c:v>
                </c:pt>
                <c:pt idx="324">
                  <c:v>104</c:v>
                </c:pt>
                <c:pt idx="325">
                  <c:v>143</c:v>
                </c:pt>
                <c:pt idx="326">
                  <c:v>300</c:v>
                </c:pt>
                <c:pt idx="327">
                  <c:v>171</c:v>
                </c:pt>
                <c:pt idx="328">
                  <c:v>113</c:v>
                </c:pt>
                <c:pt idx="329">
                  <c:v>35</c:v>
                </c:pt>
                <c:pt idx="330">
                  <c:v>46</c:v>
                </c:pt>
                <c:pt idx="331">
                  <c:v>145</c:v>
                </c:pt>
                <c:pt idx="332">
                  <c:v>119</c:v>
                </c:pt>
                <c:pt idx="333">
                  <c:v>87</c:v>
                </c:pt>
                <c:pt idx="334">
                  <c:v>162</c:v>
                </c:pt>
                <c:pt idx="335">
                  <c:v>122</c:v>
                </c:pt>
                <c:pt idx="336">
                  <c:v>187</c:v>
                </c:pt>
                <c:pt idx="337">
                  <c:v>81</c:v>
                </c:pt>
              </c:numCache>
            </c:numRef>
          </c:yVal>
          <c:smooth val="0"/>
          <c:extLst>
            <c:ext xmlns:c16="http://schemas.microsoft.com/office/drawing/2014/chart" uri="{C3380CC4-5D6E-409C-BE32-E72D297353CC}">
              <c16:uniqueId val="{00000001-E3AE-4BEE-94D1-434D3BAA156F}"/>
            </c:ext>
          </c:extLst>
        </c:ser>
        <c:dLbls>
          <c:showLegendKey val="0"/>
          <c:showVal val="0"/>
          <c:showCatName val="0"/>
          <c:showSerName val="0"/>
          <c:showPercent val="0"/>
          <c:showBubbleSize val="0"/>
        </c:dLbls>
        <c:axId val="535401928"/>
        <c:axId val="535398328"/>
      </c:scatterChart>
      <c:valAx>
        <c:axId val="5354019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398328"/>
        <c:crosses val="autoZero"/>
        <c:crossBetween val="midCat"/>
      </c:valAx>
      <c:valAx>
        <c:axId val="535398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40192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19050">
              <a:noFill/>
            </a:ln>
          </c:spPr>
          <c:xVal>
            <c:numRef>
              <c:f>RA_2_Total_Income!$A$25:$A$361</c:f>
              <c:numCache>
                <c:formatCode>General</c:formatCode>
                <c:ptCount val="337"/>
                <c:pt idx="0">
                  <c:v>0.14836795252225518</c:v>
                </c:pt>
                <c:pt idx="1">
                  <c:v>0.44510385756676552</c:v>
                </c:pt>
                <c:pt idx="2">
                  <c:v>0.74183976261127593</c:v>
                </c:pt>
                <c:pt idx="3">
                  <c:v>1.0385756676557862</c:v>
                </c:pt>
                <c:pt idx="4">
                  <c:v>1.3353115727002967</c:v>
                </c:pt>
                <c:pt idx="5">
                  <c:v>1.6320474777448071</c:v>
                </c:pt>
                <c:pt idx="6">
                  <c:v>1.9287833827893173</c:v>
                </c:pt>
                <c:pt idx="7">
                  <c:v>2.2255192878338277</c:v>
                </c:pt>
                <c:pt idx="8">
                  <c:v>2.5222551928783381</c:v>
                </c:pt>
                <c:pt idx="9">
                  <c:v>2.8189910979228485</c:v>
                </c:pt>
                <c:pt idx="10">
                  <c:v>3.1157270029673589</c:v>
                </c:pt>
                <c:pt idx="11">
                  <c:v>3.4124629080118694</c:v>
                </c:pt>
                <c:pt idx="12">
                  <c:v>3.7091988130563793</c:v>
                </c:pt>
                <c:pt idx="13">
                  <c:v>4.0059347181008897</c:v>
                </c:pt>
                <c:pt idx="14">
                  <c:v>4.3026706231454002</c:v>
                </c:pt>
                <c:pt idx="15">
                  <c:v>4.5994065281899106</c:v>
                </c:pt>
                <c:pt idx="16">
                  <c:v>4.896142433234421</c:v>
                </c:pt>
                <c:pt idx="17">
                  <c:v>5.1928783382789314</c:v>
                </c:pt>
                <c:pt idx="18">
                  <c:v>5.4896142433234418</c:v>
                </c:pt>
                <c:pt idx="19">
                  <c:v>5.7863501483679523</c:v>
                </c:pt>
                <c:pt idx="20">
                  <c:v>6.0830860534124627</c:v>
                </c:pt>
                <c:pt idx="21">
                  <c:v>6.3798219584569731</c:v>
                </c:pt>
                <c:pt idx="22">
                  <c:v>6.6765578635014835</c:v>
                </c:pt>
                <c:pt idx="23">
                  <c:v>6.9732937685459939</c:v>
                </c:pt>
                <c:pt idx="24">
                  <c:v>7.2700296735905034</c:v>
                </c:pt>
                <c:pt idx="25">
                  <c:v>7.5667655786350139</c:v>
                </c:pt>
                <c:pt idx="26">
                  <c:v>7.8635014836795243</c:v>
                </c:pt>
                <c:pt idx="27">
                  <c:v>8.1602373887240347</c:v>
                </c:pt>
                <c:pt idx="28">
                  <c:v>8.4569732937685451</c:v>
                </c:pt>
                <c:pt idx="29">
                  <c:v>8.7537091988130555</c:v>
                </c:pt>
                <c:pt idx="30">
                  <c:v>9.050445103857566</c:v>
                </c:pt>
                <c:pt idx="31">
                  <c:v>9.3471810089020764</c:v>
                </c:pt>
                <c:pt idx="32">
                  <c:v>9.6439169139465868</c:v>
                </c:pt>
                <c:pt idx="33">
                  <c:v>9.9406528189910972</c:v>
                </c:pt>
                <c:pt idx="34">
                  <c:v>10.237388724035608</c:v>
                </c:pt>
                <c:pt idx="35">
                  <c:v>10.534124629080118</c:v>
                </c:pt>
                <c:pt idx="36">
                  <c:v>10.830860534124628</c:v>
                </c:pt>
                <c:pt idx="37">
                  <c:v>11.127596439169139</c:v>
                </c:pt>
                <c:pt idx="38">
                  <c:v>11.424332344213649</c:v>
                </c:pt>
                <c:pt idx="39">
                  <c:v>11.72106824925816</c:v>
                </c:pt>
                <c:pt idx="40">
                  <c:v>12.01780415430267</c:v>
                </c:pt>
                <c:pt idx="41">
                  <c:v>12.314540059347181</c:v>
                </c:pt>
                <c:pt idx="42">
                  <c:v>12.611275964391691</c:v>
                </c:pt>
                <c:pt idx="43">
                  <c:v>12.908011869436201</c:v>
                </c:pt>
                <c:pt idx="44">
                  <c:v>13.204747774480712</c:v>
                </c:pt>
                <c:pt idx="45">
                  <c:v>13.501483679525222</c:v>
                </c:pt>
                <c:pt idx="46">
                  <c:v>13.798219584569733</c:v>
                </c:pt>
                <c:pt idx="47">
                  <c:v>14.094955489614243</c:v>
                </c:pt>
                <c:pt idx="48">
                  <c:v>14.391691394658752</c:v>
                </c:pt>
                <c:pt idx="49">
                  <c:v>14.688427299703262</c:v>
                </c:pt>
                <c:pt idx="50">
                  <c:v>14.985163204747773</c:v>
                </c:pt>
                <c:pt idx="51">
                  <c:v>15.281899109792283</c:v>
                </c:pt>
                <c:pt idx="52">
                  <c:v>15.578635014836793</c:v>
                </c:pt>
                <c:pt idx="53">
                  <c:v>15.875370919881304</c:v>
                </c:pt>
                <c:pt idx="54">
                  <c:v>16.172106824925812</c:v>
                </c:pt>
                <c:pt idx="55">
                  <c:v>16.468842729970323</c:v>
                </c:pt>
                <c:pt idx="56">
                  <c:v>16.765578635014833</c:v>
                </c:pt>
                <c:pt idx="57">
                  <c:v>17.062314540059344</c:v>
                </c:pt>
                <c:pt idx="58">
                  <c:v>17.359050445103854</c:v>
                </c:pt>
                <c:pt idx="59">
                  <c:v>17.655786350148365</c:v>
                </c:pt>
                <c:pt idx="60">
                  <c:v>17.952522255192875</c:v>
                </c:pt>
                <c:pt idx="61">
                  <c:v>18.249258160237385</c:v>
                </c:pt>
                <c:pt idx="62">
                  <c:v>18.545994065281896</c:v>
                </c:pt>
                <c:pt idx="63">
                  <c:v>18.842729970326406</c:v>
                </c:pt>
                <c:pt idx="64">
                  <c:v>19.139465875370917</c:v>
                </c:pt>
                <c:pt idx="65">
                  <c:v>19.436201780415427</c:v>
                </c:pt>
                <c:pt idx="66">
                  <c:v>19.732937685459937</c:v>
                </c:pt>
                <c:pt idx="67">
                  <c:v>20.029673590504448</c:v>
                </c:pt>
                <c:pt idx="68">
                  <c:v>20.326409495548958</c:v>
                </c:pt>
                <c:pt idx="69">
                  <c:v>20.623145400593469</c:v>
                </c:pt>
                <c:pt idx="70">
                  <c:v>20.919881305637979</c:v>
                </c:pt>
                <c:pt idx="71">
                  <c:v>21.21661721068249</c:v>
                </c:pt>
                <c:pt idx="72">
                  <c:v>21.513353115727</c:v>
                </c:pt>
                <c:pt idx="73">
                  <c:v>21.81008902077151</c:v>
                </c:pt>
                <c:pt idx="74">
                  <c:v>22.106824925816021</c:v>
                </c:pt>
                <c:pt idx="75">
                  <c:v>22.403560830860531</c:v>
                </c:pt>
                <c:pt idx="76">
                  <c:v>22.700296735905042</c:v>
                </c:pt>
                <c:pt idx="77">
                  <c:v>22.997032640949552</c:v>
                </c:pt>
                <c:pt idx="78">
                  <c:v>23.293768545994062</c:v>
                </c:pt>
                <c:pt idx="79">
                  <c:v>23.590504451038573</c:v>
                </c:pt>
                <c:pt idx="80">
                  <c:v>23.887240356083083</c:v>
                </c:pt>
                <c:pt idx="81">
                  <c:v>24.183976261127594</c:v>
                </c:pt>
                <c:pt idx="82">
                  <c:v>24.480712166172104</c:v>
                </c:pt>
                <c:pt idx="83">
                  <c:v>24.777448071216615</c:v>
                </c:pt>
                <c:pt idx="84">
                  <c:v>25.074183976261125</c:v>
                </c:pt>
                <c:pt idx="85">
                  <c:v>25.370919881305635</c:v>
                </c:pt>
                <c:pt idx="86">
                  <c:v>25.667655786350146</c:v>
                </c:pt>
                <c:pt idx="87">
                  <c:v>25.964391691394656</c:v>
                </c:pt>
                <c:pt idx="88">
                  <c:v>26.261127596439167</c:v>
                </c:pt>
                <c:pt idx="89">
                  <c:v>26.557863501483677</c:v>
                </c:pt>
                <c:pt idx="90">
                  <c:v>26.854599406528187</c:v>
                </c:pt>
                <c:pt idx="91">
                  <c:v>27.151335311572698</c:v>
                </c:pt>
                <c:pt idx="92">
                  <c:v>27.448071216617208</c:v>
                </c:pt>
                <c:pt idx="93">
                  <c:v>27.744807121661719</c:v>
                </c:pt>
                <c:pt idx="94">
                  <c:v>28.041543026706229</c:v>
                </c:pt>
                <c:pt idx="95">
                  <c:v>28.33827893175074</c:v>
                </c:pt>
                <c:pt idx="96">
                  <c:v>28.635014836795246</c:v>
                </c:pt>
                <c:pt idx="97">
                  <c:v>28.931750741839757</c:v>
                </c:pt>
                <c:pt idx="98">
                  <c:v>29.228486646884267</c:v>
                </c:pt>
                <c:pt idx="99">
                  <c:v>29.525222551928778</c:v>
                </c:pt>
                <c:pt idx="100">
                  <c:v>29.821958456973288</c:v>
                </c:pt>
                <c:pt idx="101">
                  <c:v>30.118694362017798</c:v>
                </c:pt>
                <c:pt idx="102">
                  <c:v>30.415430267062309</c:v>
                </c:pt>
                <c:pt idx="103">
                  <c:v>30.712166172106819</c:v>
                </c:pt>
                <c:pt idx="104">
                  <c:v>31.00890207715133</c:v>
                </c:pt>
                <c:pt idx="105">
                  <c:v>31.30563798219584</c:v>
                </c:pt>
                <c:pt idx="106">
                  <c:v>31.602373887240351</c:v>
                </c:pt>
                <c:pt idx="107">
                  <c:v>31.899109792284861</c:v>
                </c:pt>
                <c:pt idx="108">
                  <c:v>32.195845697329375</c:v>
                </c:pt>
                <c:pt idx="109">
                  <c:v>32.492581602373889</c:v>
                </c:pt>
                <c:pt idx="110">
                  <c:v>32.789317507418396</c:v>
                </c:pt>
                <c:pt idx="111">
                  <c:v>33.08605341246291</c:v>
                </c:pt>
                <c:pt idx="112">
                  <c:v>33.382789317507417</c:v>
                </c:pt>
                <c:pt idx="113">
                  <c:v>33.679525222551931</c:v>
                </c:pt>
                <c:pt idx="114">
                  <c:v>33.976261127596437</c:v>
                </c:pt>
                <c:pt idx="115">
                  <c:v>34.272997032640951</c:v>
                </c:pt>
                <c:pt idx="116">
                  <c:v>34.569732937685458</c:v>
                </c:pt>
                <c:pt idx="117">
                  <c:v>34.866468842729972</c:v>
                </c:pt>
                <c:pt idx="118">
                  <c:v>35.163204747774479</c:v>
                </c:pt>
                <c:pt idx="119">
                  <c:v>35.459940652818993</c:v>
                </c:pt>
                <c:pt idx="120">
                  <c:v>35.7566765578635</c:v>
                </c:pt>
                <c:pt idx="121">
                  <c:v>36.053412462908014</c:v>
                </c:pt>
                <c:pt idx="122">
                  <c:v>36.350148367952521</c:v>
                </c:pt>
                <c:pt idx="123">
                  <c:v>36.646884272997035</c:v>
                </c:pt>
                <c:pt idx="124">
                  <c:v>36.943620178041542</c:v>
                </c:pt>
                <c:pt idx="125">
                  <c:v>37.240356083086056</c:v>
                </c:pt>
                <c:pt idx="126">
                  <c:v>37.537091988130562</c:v>
                </c:pt>
                <c:pt idx="127">
                  <c:v>37.833827893175076</c:v>
                </c:pt>
                <c:pt idx="128">
                  <c:v>38.130563798219583</c:v>
                </c:pt>
                <c:pt idx="129">
                  <c:v>38.42729970326409</c:v>
                </c:pt>
                <c:pt idx="130">
                  <c:v>38.724035608308604</c:v>
                </c:pt>
                <c:pt idx="131">
                  <c:v>39.020771513353111</c:v>
                </c:pt>
                <c:pt idx="132">
                  <c:v>39.317507418397625</c:v>
                </c:pt>
                <c:pt idx="133">
                  <c:v>39.614243323442132</c:v>
                </c:pt>
                <c:pt idx="134">
                  <c:v>39.910979228486646</c:v>
                </c:pt>
                <c:pt idx="135">
                  <c:v>40.207715133531153</c:v>
                </c:pt>
                <c:pt idx="136">
                  <c:v>40.504451038575667</c:v>
                </c:pt>
                <c:pt idx="137">
                  <c:v>40.801186943620174</c:v>
                </c:pt>
                <c:pt idx="138">
                  <c:v>41.097922848664687</c:v>
                </c:pt>
                <c:pt idx="139">
                  <c:v>41.394658753709194</c:v>
                </c:pt>
                <c:pt idx="140">
                  <c:v>41.691394658753708</c:v>
                </c:pt>
                <c:pt idx="141">
                  <c:v>41.988130563798215</c:v>
                </c:pt>
                <c:pt idx="142">
                  <c:v>42.284866468842729</c:v>
                </c:pt>
                <c:pt idx="143">
                  <c:v>42.581602373887236</c:v>
                </c:pt>
                <c:pt idx="144">
                  <c:v>42.87833827893175</c:v>
                </c:pt>
                <c:pt idx="145">
                  <c:v>43.175074183976257</c:v>
                </c:pt>
                <c:pt idx="146">
                  <c:v>43.471810089020771</c:v>
                </c:pt>
                <c:pt idx="147">
                  <c:v>43.768545994065278</c:v>
                </c:pt>
                <c:pt idx="148">
                  <c:v>44.065281899109792</c:v>
                </c:pt>
                <c:pt idx="149">
                  <c:v>44.362017804154299</c:v>
                </c:pt>
                <c:pt idx="150">
                  <c:v>44.658753709198812</c:v>
                </c:pt>
                <c:pt idx="151">
                  <c:v>44.955489614243319</c:v>
                </c:pt>
                <c:pt idx="152">
                  <c:v>45.252225519287833</c:v>
                </c:pt>
                <c:pt idx="153">
                  <c:v>45.54896142433234</c:v>
                </c:pt>
                <c:pt idx="154">
                  <c:v>45.845697329376854</c:v>
                </c:pt>
                <c:pt idx="155">
                  <c:v>46.142433234421361</c:v>
                </c:pt>
                <c:pt idx="156">
                  <c:v>46.439169139465875</c:v>
                </c:pt>
                <c:pt idx="157">
                  <c:v>46.735905044510382</c:v>
                </c:pt>
                <c:pt idx="158">
                  <c:v>47.032640949554896</c:v>
                </c:pt>
                <c:pt idx="159">
                  <c:v>47.329376854599403</c:v>
                </c:pt>
                <c:pt idx="160">
                  <c:v>47.626112759643917</c:v>
                </c:pt>
                <c:pt idx="161">
                  <c:v>47.922848664688424</c:v>
                </c:pt>
                <c:pt idx="162">
                  <c:v>48.219584569732937</c:v>
                </c:pt>
                <c:pt idx="163">
                  <c:v>48.516320474777444</c:v>
                </c:pt>
                <c:pt idx="164">
                  <c:v>48.813056379821958</c:v>
                </c:pt>
                <c:pt idx="165">
                  <c:v>49.109792284866465</c:v>
                </c:pt>
                <c:pt idx="166">
                  <c:v>49.406528189910979</c:v>
                </c:pt>
                <c:pt idx="167">
                  <c:v>49.703264094955486</c:v>
                </c:pt>
                <c:pt idx="168">
                  <c:v>50</c:v>
                </c:pt>
                <c:pt idx="169">
                  <c:v>50.296735905044507</c:v>
                </c:pt>
                <c:pt idx="170">
                  <c:v>50.593471810089021</c:v>
                </c:pt>
                <c:pt idx="171">
                  <c:v>50.890207715133528</c:v>
                </c:pt>
                <c:pt idx="172">
                  <c:v>51.186943620178042</c:v>
                </c:pt>
                <c:pt idx="173">
                  <c:v>51.483679525222549</c:v>
                </c:pt>
                <c:pt idx="174">
                  <c:v>51.780415430267063</c:v>
                </c:pt>
                <c:pt idx="175">
                  <c:v>52.077151335311569</c:v>
                </c:pt>
                <c:pt idx="176">
                  <c:v>52.373887240356083</c:v>
                </c:pt>
                <c:pt idx="177">
                  <c:v>52.67062314540059</c:v>
                </c:pt>
                <c:pt idx="178">
                  <c:v>52.967359050445104</c:v>
                </c:pt>
                <c:pt idx="179">
                  <c:v>53.264094955489611</c:v>
                </c:pt>
                <c:pt idx="180">
                  <c:v>53.560830860534125</c:v>
                </c:pt>
                <c:pt idx="181">
                  <c:v>53.857566765578632</c:v>
                </c:pt>
                <c:pt idx="182">
                  <c:v>54.154302670623146</c:v>
                </c:pt>
                <c:pt idx="183">
                  <c:v>54.451038575667653</c:v>
                </c:pt>
                <c:pt idx="184">
                  <c:v>54.747774480712167</c:v>
                </c:pt>
                <c:pt idx="185">
                  <c:v>55.044510385756674</c:v>
                </c:pt>
                <c:pt idx="186">
                  <c:v>55.341246290801188</c:v>
                </c:pt>
                <c:pt idx="187">
                  <c:v>55.637982195845694</c:v>
                </c:pt>
                <c:pt idx="188">
                  <c:v>55.934718100890208</c:v>
                </c:pt>
                <c:pt idx="189">
                  <c:v>56.231454005934715</c:v>
                </c:pt>
                <c:pt idx="190">
                  <c:v>56.528189910979229</c:v>
                </c:pt>
                <c:pt idx="191">
                  <c:v>56.824925816023736</c:v>
                </c:pt>
                <c:pt idx="192">
                  <c:v>57.121661721068243</c:v>
                </c:pt>
                <c:pt idx="193">
                  <c:v>57.418397626112757</c:v>
                </c:pt>
                <c:pt idx="194">
                  <c:v>57.715133531157264</c:v>
                </c:pt>
                <c:pt idx="195">
                  <c:v>58.011869436201778</c:v>
                </c:pt>
                <c:pt idx="196">
                  <c:v>58.308605341246285</c:v>
                </c:pt>
                <c:pt idx="197">
                  <c:v>58.605341246290799</c:v>
                </c:pt>
                <c:pt idx="198">
                  <c:v>58.902077151335305</c:v>
                </c:pt>
                <c:pt idx="199">
                  <c:v>59.198813056379819</c:v>
                </c:pt>
                <c:pt idx="200">
                  <c:v>59.495548961424326</c:v>
                </c:pt>
                <c:pt idx="201">
                  <c:v>59.79228486646884</c:v>
                </c:pt>
                <c:pt idx="202">
                  <c:v>60.089020771513347</c:v>
                </c:pt>
                <c:pt idx="203">
                  <c:v>60.385756676557861</c:v>
                </c:pt>
                <c:pt idx="204">
                  <c:v>60.682492581602368</c:v>
                </c:pt>
                <c:pt idx="205">
                  <c:v>60.979228486646882</c:v>
                </c:pt>
                <c:pt idx="206">
                  <c:v>61.275964391691389</c:v>
                </c:pt>
                <c:pt idx="207">
                  <c:v>61.572700296735903</c:v>
                </c:pt>
                <c:pt idx="208">
                  <c:v>61.86943620178041</c:v>
                </c:pt>
                <c:pt idx="209">
                  <c:v>62.166172106824924</c:v>
                </c:pt>
                <c:pt idx="210">
                  <c:v>62.46290801186943</c:v>
                </c:pt>
                <c:pt idx="211">
                  <c:v>62.759643916913944</c:v>
                </c:pt>
                <c:pt idx="212">
                  <c:v>63.056379821958451</c:v>
                </c:pt>
                <c:pt idx="213">
                  <c:v>63.353115727002965</c:v>
                </c:pt>
                <c:pt idx="214">
                  <c:v>63.649851632047472</c:v>
                </c:pt>
                <c:pt idx="215">
                  <c:v>63.946587537091986</c:v>
                </c:pt>
                <c:pt idx="216">
                  <c:v>64.243323442136486</c:v>
                </c:pt>
                <c:pt idx="217">
                  <c:v>64.540059347181</c:v>
                </c:pt>
                <c:pt idx="218">
                  <c:v>64.836795252225514</c:v>
                </c:pt>
                <c:pt idx="219">
                  <c:v>65.133531157270014</c:v>
                </c:pt>
                <c:pt idx="220">
                  <c:v>65.430267062314527</c:v>
                </c:pt>
                <c:pt idx="221">
                  <c:v>65.727002967359041</c:v>
                </c:pt>
                <c:pt idx="222">
                  <c:v>66.023738872403555</c:v>
                </c:pt>
                <c:pt idx="223">
                  <c:v>66.320474777448055</c:v>
                </c:pt>
                <c:pt idx="224">
                  <c:v>66.617210682492569</c:v>
                </c:pt>
                <c:pt idx="225">
                  <c:v>66.913946587537083</c:v>
                </c:pt>
                <c:pt idx="226">
                  <c:v>67.210682492581597</c:v>
                </c:pt>
                <c:pt idx="227">
                  <c:v>67.507418397626097</c:v>
                </c:pt>
                <c:pt idx="228">
                  <c:v>67.804154302670611</c:v>
                </c:pt>
                <c:pt idx="229">
                  <c:v>68.100890207715125</c:v>
                </c:pt>
                <c:pt idx="230">
                  <c:v>68.397626112759639</c:v>
                </c:pt>
                <c:pt idx="231">
                  <c:v>68.694362017804139</c:v>
                </c:pt>
                <c:pt idx="232">
                  <c:v>68.991097922848653</c:v>
                </c:pt>
                <c:pt idx="233">
                  <c:v>69.287833827893166</c:v>
                </c:pt>
                <c:pt idx="234">
                  <c:v>69.58456973293768</c:v>
                </c:pt>
                <c:pt idx="235">
                  <c:v>69.88130563798218</c:v>
                </c:pt>
                <c:pt idx="236">
                  <c:v>70.178041543026694</c:v>
                </c:pt>
                <c:pt idx="237">
                  <c:v>70.474777448071208</c:v>
                </c:pt>
                <c:pt idx="238">
                  <c:v>70.771513353115722</c:v>
                </c:pt>
                <c:pt idx="239">
                  <c:v>71.068249258160222</c:v>
                </c:pt>
                <c:pt idx="240">
                  <c:v>71.364985163204736</c:v>
                </c:pt>
                <c:pt idx="241">
                  <c:v>71.66172106824925</c:v>
                </c:pt>
                <c:pt idx="242">
                  <c:v>71.958456973293764</c:v>
                </c:pt>
                <c:pt idx="243">
                  <c:v>72.255192878338264</c:v>
                </c:pt>
                <c:pt idx="244">
                  <c:v>72.551928783382778</c:v>
                </c:pt>
                <c:pt idx="245">
                  <c:v>72.848664688427291</c:v>
                </c:pt>
                <c:pt idx="246">
                  <c:v>73.145400593471805</c:v>
                </c:pt>
                <c:pt idx="247">
                  <c:v>73.442136498516305</c:v>
                </c:pt>
                <c:pt idx="248">
                  <c:v>73.738872403560819</c:v>
                </c:pt>
                <c:pt idx="249">
                  <c:v>74.035608308605333</c:v>
                </c:pt>
                <c:pt idx="250">
                  <c:v>74.332344213649847</c:v>
                </c:pt>
                <c:pt idx="251">
                  <c:v>74.629080118694347</c:v>
                </c:pt>
                <c:pt idx="252">
                  <c:v>74.925816023738861</c:v>
                </c:pt>
                <c:pt idx="253">
                  <c:v>75.222551928783375</c:v>
                </c:pt>
                <c:pt idx="254">
                  <c:v>75.519287833827889</c:v>
                </c:pt>
                <c:pt idx="255">
                  <c:v>75.816023738872389</c:v>
                </c:pt>
                <c:pt idx="256">
                  <c:v>76.112759643916903</c:v>
                </c:pt>
                <c:pt idx="257">
                  <c:v>76.409495548961416</c:v>
                </c:pt>
                <c:pt idx="258">
                  <c:v>76.706231454005916</c:v>
                </c:pt>
                <c:pt idx="259">
                  <c:v>77.00296735905043</c:v>
                </c:pt>
                <c:pt idx="260">
                  <c:v>77.299703264094944</c:v>
                </c:pt>
                <c:pt idx="261">
                  <c:v>77.596439169139458</c:v>
                </c:pt>
                <c:pt idx="262">
                  <c:v>77.893175074183958</c:v>
                </c:pt>
                <c:pt idx="263">
                  <c:v>78.189910979228472</c:v>
                </c:pt>
                <c:pt idx="264">
                  <c:v>78.486646884272986</c:v>
                </c:pt>
                <c:pt idx="265">
                  <c:v>78.7833827893175</c:v>
                </c:pt>
                <c:pt idx="266">
                  <c:v>79.080118694362</c:v>
                </c:pt>
                <c:pt idx="267">
                  <c:v>79.376854599406514</c:v>
                </c:pt>
                <c:pt idx="268">
                  <c:v>79.673590504451028</c:v>
                </c:pt>
                <c:pt idx="269">
                  <c:v>79.970326409495541</c:v>
                </c:pt>
                <c:pt idx="270">
                  <c:v>80.267062314540041</c:v>
                </c:pt>
                <c:pt idx="271">
                  <c:v>80.563798219584555</c:v>
                </c:pt>
                <c:pt idx="272">
                  <c:v>80.860534124629069</c:v>
                </c:pt>
                <c:pt idx="273">
                  <c:v>81.157270029673583</c:v>
                </c:pt>
                <c:pt idx="274">
                  <c:v>81.454005934718083</c:v>
                </c:pt>
                <c:pt idx="275">
                  <c:v>81.750741839762597</c:v>
                </c:pt>
                <c:pt idx="276">
                  <c:v>82.047477744807111</c:v>
                </c:pt>
                <c:pt idx="277">
                  <c:v>82.344213649851625</c:v>
                </c:pt>
                <c:pt idx="278">
                  <c:v>82.640949554896125</c:v>
                </c:pt>
                <c:pt idx="279">
                  <c:v>82.937685459940639</c:v>
                </c:pt>
                <c:pt idx="280">
                  <c:v>83.234421364985153</c:v>
                </c:pt>
                <c:pt idx="281">
                  <c:v>83.531157270029667</c:v>
                </c:pt>
                <c:pt idx="282">
                  <c:v>83.827893175074166</c:v>
                </c:pt>
                <c:pt idx="283">
                  <c:v>84.12462908011868</c:v>
                </c:pt>
                <c:pt idx="284">
                  <c:v>84.421364985163194</c:v>
                </c:pt>
                <c:pt idx="285">
                  <c:v>84.718100890207708</c:v>
                </c:pt>
                <c:pt idx="286">
                  <c:v>85.014836795252208</c:v>
                </c:pt>
                <c:pt idx="287">
                  <c:v>85.311572700296722</c:v>
                </c:pt>
                <c:pt idx="288">
                  <c:v>85.608308605341236</c:v>
                </c:pt>
                <c:pt idx="289">
                  <c:v>85.90504451038575</c:v>
                </c:pt>
                <c:pt idx="290">
                  <c:v>86.20178041543025</c:v>
                </c:pt>
                <c:pt idx="291">
                  <c:v>86.498516320474764</c:v>
                </c:pt>
                <c:pt idx="292">
                  <c:v>86.795252225519278</c:v>
                </c:pt>
                <c:pt idx="293">
                  <c:v>87.091988130563792</c:v>
                </c:pt>
                <c:pt idx="294">
                  <c:v>87.388724035608291</c:v>
                </c:pt>
                <c:pt idx="295">
                  <c:v>87.685459940652805</c:v>
                </c:pt>
                <c:pt idx="296">
                  <c:v>87.982195845697319</c:v>
                </c:pt>
                <c:pt idx="297">
                  <c:v>88.278931750741833</c:v>
                </c:pt>
                <c:pt idx="298">
                  <c:v>88.575667655786333</c:v>
                </c:pt>
                <c:pt idx="299">
                  <c:v>88.872403560830847</c:v>
                </c:pt>
                <c:pt idx="300">
                  <c:v>89.169139465875361</c:v>
                </c:pt>
                <c:pt idx="301">
                  <c:v>89.465875370919875</c:v>
                </c:pt>
                <c:pt idx="302">
                  <c:v>89.762611275964375</c:v>
                </c:pt>
                <c:pt idx="303">
                  <c:v>90.059347181008889</c:v>
                </c:pt>
                <c:pt idx="304">
                  <c:v>90.356083086053403</c:v>
                </c:pt>
                <c:pt idx="305">
                  <c:v>90.652818991097917</c:v>
                </c:pt>
                <c:pt idx="306">
                  <c:v>90.949554896142416</c:v>
                </c:pt>
                <c:pt idx="307">
                  <c:v>91.24629080118693</c:v>
                </c:pt>
                <c:pt idx="308">
                  <c:v>91.543026706231444</c:v>
                </c:pt>
                <c:pt idx="309">
                  <c:v>91.839762611275958</c:v>
                </c:pt>
                <c:pt idx="310">
                  <c:v>92.136498516320458</c:v>
                </c:pt>
                <c:pt idx="311">
                  <c:v>92.433234421364972</c:v>
                </c:pt>
                <c:pt idx="312">
                  <c:v>92.729970326409486</c:v>
                </c:pt>
                <c:pt idx="313">
                  <c:v>93.026706231454</c:v>
                </c:pt>
                <c:pt idx="314">
                  <c:v>93.3234421364985</c:v>
                </c:pt>
                <c:pt idx="315">
                  <c:v>93.620178041543014</c:v>
                </c:pt>
                <c:pt idx="316">
                  <c:v>93.916913946587528</c:v>
                </c:pt>
                <c:pt idx="317">
                  <c:v>94.213649851632042</c:v>
                </c:pt>
                <c:pt idx="318">
                  <c:v>94.510385756676541</c:v>
                </c:pt>
                <c:pt idx="319">
                  <c:v>94.807121661721055</c:v>
                </c:pt>
                <c:pt idx="320">
                  <c:v>95.103857566765569</c:v>
                </c:pt>
                <c:pt idx="321">
                  <c:v>95.400593471810069</c:v>
                </c:pt>
                <c:pt idx="322">
                  <c:v>95.697329376854583</c:v>
                </c:pt>
                <c:pt idx="323">
                  <c:v>95.994065281899097</c:v>
                </c:pt>
                <c:pt idx="324">
                  <c:v>96.290801186943611</c:v>
                </c:pt>
                <c:pt idx="325">
                  <c:v>96.587537091988111</c:v>
                </c:pt>
                <c:pt idx="326">
                  <c:v>96.884272997032625</c:v>
                </c:pt>
                <c:pt idx="327">
                  <c:v>97.181008902077139</c:v>
                </c:pt>
                <c:pt idx="328">
                  <c:v>97.477744807121653</c:v>
                </c:pt>
                <c:pt idx="329">
                  <c:v>97.774480712166152</c:v>
                </c:pt>
                <c:pt idx="330">
                  <c:v>98.071216617210666</c:v>
                </c:pt>
                <c:pt idx="331">
                  <c:v>98.36795252225518</c:v>
                </c:pt>
                <c:pt idx="332">
                  <c:v>98.664688427299694</c:v>
                </c:pt>
                <c:pt idx="333">
                  <c:v>98.961424332344194</c:v>
                </c:pt>
                <c:pt idx="334">
                  <c:v>99.258160237388708</c:v>
                </c:pt>
                <c:pt idx="335">
                  <c:v>99.554896142433222</c:v>
                </c:pt>
                <c:pt idx="336">
                  <c:v>99.851632047477736</c:v>
                </c:pt>
              </c:numCache>
            </c:numRef>
          </c:xVal>
          <c:yVal>
            <c:numRef>
              <c:f>RA_2_Total_Income!$B$25:$B$361</c:f>
              <c:numCache>
                <c:formatCode>General</c:formatCode>
                <c:ptCount val="337"/>
                <c:pt idx="0">
                  <c:v>28</c:v>
                </c:pt>
                <c:pt idx="1">
                  <c:v>28</c:v>
                </c:pt>
                <c:pt idx="2">
                  <c:v>30</c:v>
                </c:pt>
                <c:pt idx="3">
                  <c:v>35</c:v>
                </c:pt>
                <c:pt idx="4">
                  <c:v>40</c:v>
                </c:pt>
                <c:pt idx="5">
                  <c:v>40</c:v>
                </c:pt>
                <c:pt idx="6">
                  <c:v>40</c:v>
                </c:pt>
                <c:pt idx="7">
                  <c:v>46</c:v>
                </c:pt>
                <c:pt idx="8">
                  <c:v>48</c:v>
                </c:pt>
                <c:pt idx="9">
                  <c:v>49</c:v>
                </c:pt>
                <c:pt idx="10">
                  <c:v>50</c:v>
                </c:pt>
                <c:pt idx="11">
                  <c:v>50</c:v>
                </c:pt>
                <c:pt idx="12">
                  <c:v>55</c:v>
                </c:pt>
                <c:pt idx="13">
                  <c:v>57</c:v>
                </c:pt>
                <c:pt idx="14">
                  <c:v>59</c:v>
                </c:pt>
                <c:pt idx="15">
                  <c:v>61</c:v>
                </c:pt>
                <c:pt idx="16">
                  <c:v>64</c:v>
                </c:pt>
                <c:pt idx="17">
                  <c:v>64</c:v>
                </c:pt>
                <c:pt idx="18">
                  <c:v>65</c:v>
                </c:pt>
                <c:pt idx="19">
                  <c:v>65</c:v>
                </c:pt>
                <c:pt idx="20">
                  <c:v>65</c:v>
                </c:pt>
                <c:pt idx="21">
                  <c:v>65</c:v>
                </c:pt>
                <c:pt idx="22">
                  <c:v>66</c:v>
                </c:pt>
                <c:pt idx="23">
                  <c:v>67</c:v>
                </c:pt>
                <c:pt idx="24">
                  <c:v>68</c:v>
                </c:pt>
                <c:pt idx="25">
                  <c:v>70</c:v>
                </c:pt>
                <c:pt idx="26">
                  <c:v>70</c:v>
                </c:pt>
                <c:pt idx="27">
                  <c:v>70</c:v>
                </c:pt>
                <c:pt idx="28">
                  <c:v>71</c:v>
                </c:pt>
                <c:pt idx="29">
                  <c:v>72</c:v>
                </c:pt>
                <c:pt idx="30">
                  <c:v>74</c:v>
                </c:pt>
                <c:pt idx="31">
                  <c:v>75</c:v>
                </c:pt>
                <c:pt idx="32">
                  <c:v>75</c:v>
                </c:pt>
                <c:pt idx="33">
                  <c:v>77</c:v>
                </c:pt>
                <c:pt idx="34">
                  <c:v>78</c:v>
                </c:pt>
                <c:pt idx="35">
                  <c:v>78</c:v>
                </c:pt>
                <c:pt idx="36">
                  <c:v>79</c:v>
                </c:pt>
                <c:pt idx="37">
                  <c:v>80</c:v>
                </c:pt>
                <c:pt idx="38">
                  <c:v>80</c:v>
                </c:pt>
                <c:pt idx="39">
                  <c:v>80</c:v>
                </c:pt>
                <c:pt idx="40">
                  <c:v>80</c:v>
                </c:pt>
                <c:pt idx="41">
                  <c:v>80</c:v>
                </c:pt>
                <c:pt idx="42">
                  <c:v>81</c:v>
                </c:pt>
                <c:pt idx="43">
                  <c:v>81</c:v>
                </c:pt>
                <c:pt idx="44">
                  <c:v>83</c:v>
                </c:pt>
                <c:pt idx="45">
                  <c:v>83</c:v>
                </c:pt>
                <c:pt idx="46">
                  <c:v>84</c:v>
                </c:pt>
                <c:pt idx="47">
                  <c:v>84</c:v>
                </c:pt>
                <c:pt idx="48">
                  <c:v>84</c:v>
                </c:pt>
                <c:pt idx="49">
                  <c:v>87</c:v>
                </c:pt>
                <c:pt idx="50">
                  <c:v>88</c:v>
                </c:pt>
                <c:pt idx="51">
                  <c:v>88</c:v>
                </c:pt>
                <c:pt idx="52">
                  <c:v>90</c:v>
                </c:pt>
                <c:pt idx="53">
                  <c:v>90</c:v>
                </c:pt>
                <c:pt idx="54">
                  <c:v>90</c:v>
                </c:pt>
                <c:pt idx="55">
                  <c:v>90</c:v>
                </c:pt>
                <c:pt idx="56">
                  <c:v>90</c:v>
                </c:pt>
                <c:pt idx="57">
                  <c:v>90</c:v>
                </c:pt>
                <c:pt idx="58">
                  <c:v>90</c:v>
                </c:pt>
                <c:pt idx="59">
                  <c:v>90</c:v>
                </c:pt>
                <c:pt idx="60">
                  <c:v>90</c:v>
                </c:pt>
                <c:pt idx="61">
                  <c:v>92</c:v>
                </c:pt>
                <c:pt idx="62">
                  <c:v>92</c:v>
                </c:pt>
                <c:pt idx="63">
                  <c:v>92</c:v>
                </c:pt>
                <c:pt idx="64">
                  <c:v>93</c:v>
                </c:pt>
                <c:pt idx="65">
                  <c:v>94</c:v>
                </c:pt>
                <c:pt idx="66">
                  <c:v>94</c:v>
                </c:pt>
                <c:pt idx="67">
                  <c:v>95</c:v>
                </c:pt>
                <c:pt idx="68">
                  <c:v>95</c:v>
                </c:pt>
                <c:pt idx="69">
                  <c:v>95</c:v>
                </c:pt>
                <c:pt idx="70">
                  <c:v>96</c:v>
                </c:pt>
                <c:pt idx="71">
                  <c:v>96</c:v>
                </c:pt>
                <c:pt idx="72">
                  <c:v>99</c:v>
                </c:pt>
                <c:pt idx="73">
                  <c:v>99</c:v>
                </c:pt>
                <c:pt idx="74">
                  <c:v>100</c:v>
                </c:pt>
                <c:pt idx="75">
                  <c:v>100</c:v>
                </c:pt>
                <c:pt idx="76">
                  <c:v>100</c:v>
                </c:pt>
                <c:pt idx="77">
                  <c:v>100</c:v>
                </c:pt>
                <c:pt idx="78">
                  <c:v>100</c:v>
                </c:pt>
                <c:pt idx="79">
                  <c:v>100</c:v>
                </c:pt>
                <c:pt idx="80">
                  <c:v>100</c:v>
                </c:pt>
                <c:pt idx="81">
                  <c:v>100</c:v>
                </c:pt>
                <c:pt idx="82">
                  <c:v>100</c:v>
                </c:pt>
                <c:pt idx="83">
                  <c:v>101</c:v>
                </c:pt>
                <c:pt idx="84">
                  <c:v>101</c:v>
                </c:pt>
                <c:pt idx="85">
                  <c:v>102</c:v>
                </c:pt>
                <c:pt idx="86">
                  <c:v>102</c:v>
                </c:pt>
                <c:pt idx="87">
                  <c:v>102</c:v>
                </c:pt>
                <c:pt idx="88">
                  <c:v>102</c:v>
                </c:pt>
                <c:pt idx="89">
                  <c:v>103</c:v>
                </c:pt>
                <c:pt idx="90">
                  <c:v>104</c:v>
                </c:pt>
                <c:pt idx="91">
                  <c:v>104</c:v>
                </c:pt>
                <c:pt idx="92">
                  <c:v>104</c:v>
                </c:pt>
                <c:pt idx="93">
                  <c:v>104</c:v>
                </c:pt>
                <c:pt idx="94">
                  <c:v>104</c:v>
                </c:pt>
                <c:pt idx="95">
                  <c:v>105</c:v>
                </c:pt>
                <c:pt idx="96">
                  <c:v>105</c:v>
                </c:pt>
                <c:pt idx="97">
                  <c:v>105</c:v>
                </c:pt>
                <c:pt idx="98">
                  <c:v>105</c:v>
                </c:pt>
                <c:pt idx="99">
                  <c:v>106</c:v>
                </c:pt>
                <c:pt idx="100">
                  <c:v>107</c:v>
                </c:pt>
                <c:pt idx="101">
                  <c:v>107</c:v>
                </c:pt>
                <c:pt idx="102">
                  <c:v>108</c:v>
                </c:pt>
                <c:pt idx="103">
                  <c:v>108</c:v>
                </c:pt>
                <c:pt idx="104">
                  <c:v>108</c:v>
                </c:pt>
                <c:pt idx="105">
                  <c:v>108</c:v>
                </c:pt>
                <c:pt idx="106">
                  <c:v>108</c:v>
                </c:pt>
                <c:pt idx="107">
                  <c:v>108</c:v>
                </c:pt>
                <c:pt idx="108">
                  <c:v>108</c:v>
                </c:pt>
                <c:pt idx="109">
                  <c:v>108</c:v>
                </c:pt>
                <c:pt idx="110">
                  <c:v>110</c:v>
                </c:pt>
                <c:pt idx="111">
                  <c:v>110</c:v>
                </c:pt>
                <c:pt idx="112">
                  <c:v>110</c:v>
                </c:pt>
                <c:pt idx="113">
                  <c:v>110</c:v>
                </c:pt>
                <c:pt idx="114">
                  <c:v>110</c:v>
                </c:pt>
                <c:pt idx="115">
                  <c:v>110</c:v>
                </c:pt>
                <c:pt idx="116">
                  <c:v>110</c:v>
                </c:pt>
                <c:pt idx="117">
                  <c:v>110</c:v>
                </c:pt>
                <c:pt idx="118">
                  <c:v>110</c:v>
                </c:pt>
                <c:pt idx="119">
                  <c:v>112</c:v>
                </c:pt>
                <c:pt idx="120">
                  <c:v>113</c:v>
                </c:pt>
                <c:pt idx="121">
                  <c:v>113</c:v>
                </c:pt>
                <c:pt idx="122">
                  <c:v>114</c:v>
                </c:pt>
                <c:pt idx="123">
                  <c:v>114</c:v>
                </c:pt>
                <c:pt idx="124">
                  <c:v>115</c:v>
                </c:pt>
                <c:pt idx="125">
                  <c:v>116</c:v>
                </c:pt>
                <c:pt idx="126">
                  <c:v>116</c:v>
                </c:pt>
                <c:pt idx="127">
                  <c:v>116</c:v>
                </c:pt>
                <c:pt idx="128">
                  <c:v>116</c:v>
                </c:pt>
                <c:pt idx="129">
                  <c:v>117</c:v>
                </c:pt>
                <c:pt idx="130">
                  <c:v>117</c:v>
                </c:pt>
                <c:pt idx="131">
                  <c:v>117</c:v>
                </c:pt>
                <c:pt idx="132">
                  <c:v>117</c:v>
                </c:pt>
                <c:pt idx="133">
                  <c:v>118</c:v>
                </c:pt>
                <c:pt idx="134">
                  <c:v>118</c:v>
                </c:pt>
                <c:pt idx="135">
                  <c:v>119</c:v>
                </c:pt>
                <c:pt idx="136">
                  <c:v>119</c:v>
                </c:pt>
                <c:pt idx="137">
                  <c:v>120</c:v>
                </c:pt>
                <c:pt idx="138">
                  <c:v>120</c:v>
                </c:pt>
                <c:pt idx="139">
                  <c:v>120</c:v>
                </c:pt>
                <c:pt idx="140">
                  <c:v>120</c:v>
                </c:pt>
                <c:pt idx="141">
                  <c:v>120</c:v>
                </c:pt>
                <c:pt idx="142">
                  <c:v>120</c:v>
                </c:pt>
                <c:pt idx="143">
                  <c:v>120</c:v>
                </c:pt>
                <c:pt idx="144">
                  <c:v>120</c:v>
                </c:pt>
                <c:pt idx="145">
                  <c:v>121</c:v>
                </c:pt>
                <c:pt idx="146">
                  <c:v>122</c:v>
                </c:pt>
                <c:pt idx="147">
                  <c:v>122</c:v>
                </c:pt>
                <c:pt idx="148">
                  <c:v>122</c:v>
                </c:pt>
                <c:pt idx="149">
                  <c:v>122</c:v>
                </c:pt>
                <c:pt idx="150">
                  <c:v>122</c:v>
                </c:pt>
                <c:pt idx="151">
                  <c:v>123</c:v>
                </c:pt>
                <c:pt idx="152">
                  <c:v>123</c:v>
                </c:pt>
                <c:pt idx="153">
                  <c:v>123</c:v>
                </c:pt>
                <c:pt idx="154">
                  <c:v>123</c:v>
                </c:pt>
                <c:pt idx="155">
                  <c:v>124</c:v>
                </c:pt>
                <c:pt idx="156">
                  <c:v>124</c:v>
                </c:pt>
                <c:pt idx="157">
                  <c:v>124</c:v>
                </c:pt>
                <c:pt idx="158">
                  <c:v>125</c:v>
                </c:pt>
                <c:pt idx="159">
                  <c:v>125</c:v>
                </c:pt>
                <c:pt idx="160">
                  <c:v>125</c:v>
                </c:pt>
                <c:pt idx="161">
                  <c:v>125</c:v>
                </c:pt>
                <c:pt idx="162">
                  <c:v>125</c:v>
                </c:pt>
                <c:pt idx="163">
                  <c:v>125</c:v>
                </c:pt>
                <c:pt idx="164">
                  <c:v>125</c:v>
                </c:pt>
                <c:pt idx="165">
                  <c:v>125</c:v>
                </c:pt>
                <c:pt idx="166">
                  <c:v>125</c:v>
                </c:pt>
                <c:pt idx="167">
                  <c:v>125</c:v>
                </c:pt>
                <c:pt idx="168">
                  <c:v>125</c:v>
                </c:pt>
                <c:pt idx="169">
                  <c:v>126</c:v>
                </c:pt>
                <c:pt idx="170">
                  <c:v>126</c:v>
                </c:pt>
                <c:pt idx="171">
                  <c:v>126</c:v>
                </c:pt>
                <c:pt idx="172">
                  <c:v>128</c:v>
                </c:pt>
                <c:pt idx="173">
                  <c:v>128</c:v>
                </c:pt>
                <c:pt idx="174">
                  <c:v>128</c:v>
                </c:pt>
                <c:pt idx="175">
                  <c:v>130</c:v>
                </c:pt>
                <c:pt idx="176">
                  <c:v>130</c:v>
                </c:pt>
                <c:pt idx="177">
                  <c:v>130</c:v>
                </c:pt>
                <c:pt idx="178">
                  <c:v>130</c:v>
                </c:pt>
                <c:pt idx="179">
                  <c:v>130</c:v>
                </c:pt>
                <c:pt idx="180">
                  <c:v>130</c:v>
                </c:pt>
                <c:pt idx="181">
                  <c:v>130</c:v>
                </c:pt>
                <c:pt idx="182">
                  <c:v>130</c:v>
                </c:pt>
                <c:pt idx="183">
                  <c:v>131</c:v>
                </c:pt>
                <c:pt idx="184">
                  <c:v>131</c:v>
                </c:pt>
                <c:pt idx="185">
                  <c:v>131</c:v>
                </c:pt>
                <c:pt idx="186">
                  <c:v>131</c:v>
                </c:pt>
                <c:pt idx="187">
                  <c:v>131</c:v>
                </c:pt>
                <c:pt idx="188">
                  <c:v>132</c:v>
                </c:pt>
                <c:pt idx="189">
                  <c:v>132</c:v>
                </c:pt>
                <c:pt idx="190">
                  <c:v>132</c:v>
                </c:pt>
                <c:pt idx="191">
                  <c:v>133</c:v>
                </c:pt>
                <c:pt idx="192">
                  <c:v>134</c:v>
                </c:pt>
                <c:pt idx="193">
                  <c:v>134</c:v>
                </c:pt>
                <c:pt idx="194">
                  <c:v>135</c:v>
                </c:pt>
                <c:pt idx="195">
                  <c:v>135</c:v>
                </c:pt>
                <c:pt idx="196">
                  <c:v>135</c:v>
                </c:pt>
                <c:pt idx="197">
                  <c:v>135</c:v>
                </c:pt>
                <c:pt idx="198">
                  <c:v>135</c:v>
                </c:pt>
                <c:pt idx="199">
                  <c:v>135</c:v>
                </c:pt>
                <c:pt idx="200">
                  <c:v>138</c:v>
                </c:pt>
                <c:pt idx="201">
                  <c:v>138</c:v>
                </c:pt>
                <c:pt idx="202">
                  <c:v>138</c:v>
                </c:pt>
                <c:pt idx="203">
                  <c:v>138</c:v>
                </c:pt>
                <c:pt idx="204">
                  <c:v>139</c:v>
                </c:pt>
                <c:pt idx="205">
                  <c:v>139</c:v>
                </c:pt>
                <c:pt idx="206">
                  <c:v>139</c:v>
                </c:pt>
                <c:pt idx="207">
                  <c:v>140</c:v>
                </c:pt>
                <c:pt idx="208">
                  <c:v>140</c:v>
                </c:pt>
                <c:pt idx="209">
                  <c:v>140</c:v>
                </c:pt>
                <c:pt idx="210">
                  <c:v>140</c:v>
                </c:pt>
                <c:pt idx="211">
                  <c:v>141</c:v>
                </c:pt>
                <c:pt idx="212">
                  <c:v>142</c:v>
                </c:pt>
                <c:pt idx="213">
                  <c:v>143</c:v>
                </c:pt>
                <c:pt idx="214">
                  <c:v>143</c:v>
                </c:pt>
                <c:pt idx="215">
                  <c:v>143</c:v>
                </c:pt>
                <c:pt idx="216">
                  <c:v>143</c:v>
                </c:pt>
                <c:pt idx="217">
                  <c:v>144</c:v>
                </c:pt>
                <c:pt idx="218">
                  <c:v>144</c:v>
                </c:pt>
                <c:pt idx="219">
                  <c:v>145</c:v>
                </c:pt>
                <c:pt idx="220">
                  <c:v>145</c:v>
                </c:pt>
                <c:pt idx="221">
                  <c:v>146</c:v>
                </c:pt>
                <c:pt idx="222">
                  <c:v>146</c:v>
                </c:pt>
                <c:pt idx="223">
                  <c:v>147</c:v>
                </c:pt>
                <c:pt idx="224">
                  <c:v>147</c:v>
                </c:pt>
                <c:pt idx="225">
                  <c:v>147</c:v>
                </c:pt>
                <c:pt idx="226">
                  <c:v>148</c:v>
                </c:pt>
                <c:pt idx="227">
                  <c:v>148</c:v>
                </c:pt>
                <c:pt idx="228">
                  <c:v>148</c:v>
                </c:pt>
                <c:pt idx="229">
                  <c:v>149</c:v>
                </c:pt>
                <c:pt idx="230">
                  <c:v>149</c:v>
                </c:pt>
                <c:pt idx="231">
                  <c:v>149</c:v>
                </c:pt>
                <c:pt idx="232">
                  <c:v>150</c:v>
                </c:pt>
                <c:pt idx="233">
                  <c:v>150</c:v>
                </c:pt>
                <c:pt idx="234">
                  <c:v>150</c:v>
                </c:pt>
                <c:pt idx="235">
                  <c:v>150</c:v>
                </c:pt>
                <c:pt idx="236">
                  <c:v>150</c:v>
                </c:pt>
                <c:pt idx="237">
                  <c:v>150</c:v>
                </c:pt>
                <c:pt idx="238">
                  <c:v>150</c:v>
                </c:pt>
                <c:pt idx="239">
                  <c:v>150</c:v>
                </c:pt>
                <c:pt idx="240">
                  <c:v>150</c:v>
                </c:pt>
                <c:pt idx="241">
                  <c:v>150</c:v>
                </c:pt>
                <c:pt idx="242">
                  <c:v>150</c:v>
                </c:pt>
                <c:pt idx="243">
                  <c:v>150</c:v>
                </c:pt>
                <c:pt idx="244">
                  <c:v>151</c:v>
                </c:pt>
                <c:pt idx="245">
                  <c:v>152</c:v>
                </c:pt>
                <c:pt idx="246">
                  <c:v>152</c:v>
                </c:pt>
                <c:pt idx="247">
                  <c:v>152</c:v>
                </c:pt>
                <c:pt idx="248">
                  <c:v>153</c:v>
                </c:pt>
                <c:pt idx="249">
                  <c:v>155</c:v>
                </c:pt>
                <c:pt idx="250">
                  <c:v>157</c:v>
                </c:pt>
                <c:pt idx="251">
                  <c:v>158</c:v>
                </c:pt>
                <c:pt idx="252">
                  <c:v>159</c:v>
                </c:pt>
                <c:pt idx="253">
                  <c:v>160</c:v>
                </c:pt>
                <c:pt idx="254">
                  <c:v>160</c:v>
                </c:pt>
                <c:pt idx="255">
                  <c:v>160</c:v>
                </c:pt>
                <c:pt idx="256">
                  <c:v>160</c:v>
                </c:pt>
                <c:pt idx="257">
                  <c:v>160</c:v>
                </c:pt>
                <c:pt idx="258">
                  <c:v>162</c:v>
                </c:pt>
                <c:pt idx="259">
                  <c:v>162</c:v>
                </c:pt>
                <c:pt idx="260">
                  <c:v>162</c:v>
                </c:pt>
                <c:pt idx="261">
                  <c:v>162</c:v>
                </c:pt>
                <c:pt idx="262">
                  <c:v>163</c:v>
                </c:pt>
                <c:pt idx="263">
                  <c:v>165</c:v>
                </c:pt>
                <c:pt idx="264">
                  <c:v>165</c:v>
                </c:pt>
                <c:pt idx="265">
                  <c:v>165</c:v>
                </c:pt>
                <c:pt idx="266">
                  <c:v>166</c:v>
                </c:pt>
                <c:pt idx="267">
                  <c:v>170</c:v>
                </c:pt>
                <c:pt idx="268">
                  <c:v>170</c:v>
                </c:pt>
                <c:pt idx="269">
                  <c:v>171</c:v>
                </c:pt>
                <c:pt idx="270">
                  <c:v>171</c:v>
                </c:pt>
                <c:pt idx="271">
                  <c:v>173</c:v>
                </c:pt>
                <c:pt idx="272">
                  <c:v>176</c:v>
                </c:pt>
                <c:pt idx="273">
                  <c:v>176</c:v>
                </c:pt>
                <c:pt idx="274">
                  <c:v>176</c:v>
                </c:pt>
                <c:pt idx="275">
                  <c:v>176</c:v>
                </c:pt>
                <c:pt idx="276">
                  <c:v>177</c:v>
                </c:pt>
                <c:pt idx="277">
                  <c:v>180</c:v>
                </c:pt>
                <c:pt idx="278">
                  <c:v>180</c:v>
                </c:pt>
                <c:pt idx="279">
                  <c:v>180</c:v>
                </c:pt>
                <c:pt idx="280">
                  <c:v>180</c:v>
                </c:pt>
                <c:pt idx="281">
                  <c:v>181</c:v>
                </c:pt>
                <c:pt idx="282">
                  <c:v>183</c:v>
                </c:pt>
                <c:pt idx="283">
                  <c:v>184</c:v>
                </c:pt>
                <c:pt idx="284">
                  <c:v>185</c:v>
                </c:pt>
                <c:pt idx="285">
                  <c:v>185</c:v>
                </c:pt>
                <c:pt idx="286">
                  <c:v>185</c:v>
                </c:pt>
                <c:pt idx="287">
                  <c:v>185</c:v>
                </c:pt>
                <c:pt idx="288">
                  <c:v>185</c:v>
                </c:pt>
                <c:pt idx="289">
                  <c:v>186</c:v>
                </c:pt>
                <c:pt idx="290">
                  <c:v>187</c:v>
                </c:pt>
                <c:pt idx="291">
                  <c:v>187</c:v>
                </c:pt>
                <c:pt idx="292">
                  <c:v>187</c:v>
                </c:pt>
                <c:pt idx="293">
                  <c:v>187</c:v>
                </c:pt>
                <c:pt idx="294">
                  <c:v>187</c:v>
                </c:pt>
                <c:pt idx="295">
                  <c:v>187</c:v>
                </c:pt>
                <c:pt idx="296">
                  <c:v>187</c:v>
                </c:pt>
                <c:pt idx="297">
                  <c:v>187</c:v>
                </c:pt>
                <c:pt idx="298">
                  <c:v>187</c:v>
                </c:pt>
                <c:pt idx="299">
                  <c:v>188</c:v>
                </c:pt>
                <c:pt idx="300">
                  <c:v>188</c:v>
                </c:pt>
                <c:pt idx="301">
                  <c:v>189</c:v>
                </c:pt>
                <c:pt idx="302">
                  <c:v>192</c:v>
                </c:pt>
                <c:pt idx="303">
                  <c:v>199</c:v>
                </c:pt>
                <c:pt idx="304">
                  <c:v>200</c:v>
                </c:pt>
                <c:pt idx="305">
                  <c:v>200</c:v>
                </c:pt>
                <c:pt idx="306">
                  <c:v>200</c:v>
                </c:pt>
                <c:pt idx="307">
                  <c:v>200</c:v>
                </c:pt>
                <c:pt idx="308">
                  <c:v>200</c:v>
                </c:pt>
                <c:pt idx="309">
                  <c:v>208</c:v>
                </c:pt>
                <c:pt idx="310">
                  <c:v>209</c:v>
                </c:pt>
                <c:pt idx="311">
                  <c:v>212</c:v>
                </c:pt>
                <c:pt idx="312">
                  <c:v>212</c:v>
                </c:pt>
                <c:pt idx="313">
                  <c:v>212</c:v>
                </c:pt>
                <c:pt idx="314">
                  <c:v>213</c:v>
                </c:pt>
                <c:pt idx="315">
                  <c:v>214</c:v>
                </c:pt>
                <c:pt idx="316">
                  <c:v>225</c:v>
                </c:pt>
                <c:pt idx="317">
                  <c:v>232</c:v>
                </c:pt>
                <c:pt idx="318">
                  <c:v>234</c:v>
                </c:pt>
                <c:pt idx="319">
                  <c:v>235</c:v>
                </c:pt>
                <c:pt idx="320">
                  <c:v>240</c:v>
                </c:pt>
                <c:pt idx="321">
                  <c:v>256</c:v>
                </c:pt>
                <c:pt idx="322">
                  <c:v>257</c:v>
                </c:pt>
                <c:pt idx="323">
                  <c:v>260</c:v>
                </c:pt>
                <c:pt idx="324">
                  <c:v>275</c:v>
                </c:pt>
                <c:pt idx="325">
                  <c:v>280</c:v>
                </c:pt>
                <c:pt idx="326">
                  <c:v>290</c:v>
                </c:pt>
                <c:pt idx="327">
                  <c:v>297</c:v>
                </c:pt>
                <c:pt idx="328">
                  <c:v>300</c:v>
                </c:pt>
                <c:pt idx="329">
                  <c:v>300</c:v>
                </c:pt>
                <c:pt idx="330">
                  <c:v>300</c:v>
                </c:pt>
                <c:pt idx="331">
                  <c:v>336</c:v>
                </c:pt>
                <c:pt idx="332">
                  <c:v>360</c:v>
                </c:pt>
                <c:pt idx="333">
                  <c:v>390</c:v>
                </c:pt>
                <c:pt idx="334">
                  <c:v>412</c:v>
                </c:pt>
                <c:pt idx="335">
                  <c:v>460</c:v>
                </c:pt>
                <c:pt idx="336">
                  <c:v>550</c:v>
                </c:pt>
              </c:numCache>
            </c:numRef>
          </c:yVal>
          <c:smooth val="0"/>
          <c:extLst>
            <c:ext xmlns:c16="http://schemas.microsoft.com/office/drawing/2014/chart" uri="{C3380CC4-5D6E-409C-BE32-E72D297353CC}">
              <c16:uniqueId val="{00000000-344D-4276-A473-35F8FEC459BB}"/>
            </c:ext>
          </c:extLst>
        </c:ser>
        <c:dLbls>
          <c:showLegendKey val="0"/>
          <c:showVal val="0"/>
          <c:showCatName val="0"/>
          <c:showSerName val="0"/>
          <c:showPercent val="0"/>
          <c:showBubbleSize val="0"/>
        </c:dLbls>
        <c:axId val="696892544"/>
        <c:axId val="696896864"/>
      </c:scatterChart>
      <c:valAx>
        <c:axId val="696892544"/>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696896864"/>
        <c:crosses val="autoZero"/>
        <c:crossBetween val="midCat"/>
      </c:valAx>
      <c:valAx>
        <c:axId val="696896864"/>
        <c:scaling>
          <c:orientation val="minMax"/>
        </c:scaling>
        <c:delete val="0"/>
        <c:axPos val="l"/>
        <c:title>
          <c:tx>
            <c:rich>
              <a:bodyPr/>
              <a:lstStyle/>
              <a:p>
                <a:pPr>
                  <a:defRPr/>
                </a:pPr>
                <a:r>
                  <a:rPr lang="en-US"/>
                  <a:t>110</a:t>
                </a:r>
              </a:p>
            </c:rich>
          </c:tx>
          <c:overlay val="0"/>
        </c:title>
        <c:numFmt formatCode="General" sourceLinked="1"/>
        <c:majorTickMark val="out"/>
        <c:minorTickMark val="none"/>
        <c:tickLblPos val="nextTo"/>
        <c:crossAx val="69689254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data id="1">
      <cx:numDim type="val">
        <cx:f>_xlchart.v1.1</cx:f>
      </cx:numDim>
    </cx:data>
  </cx:chartData>
  <cx:chart>
    <cx:title pos="t" align="ctr" overlay="0">
      <cx:tx>
        <cx:txData>
          <cx:v>Probability output</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panose="020F0502020204030204"/>
            </a:rPr>
            <a:t>Probability output</a:t>
          </a:r>
        </a:p>
      </cx:txPr>
    </cx:title>
    <cx:plotArea>
      <cx:plotAreaRegion>
        <cx:series layoutId="clusteredColumn" uniqueId="{D812A104-C382-46D1-9221-B86F3152CB64}" formatIdx="0">
          <cx:dataId val="0"/>
          <cx:layoutPr>
            <cx:binning intervalClosed="r"/>
          </cx:layoutPr>
          <cx:axisId val="1"/>
        </cx:series>
        <cx:series layoutId="paretoLine" ownerIdx="0" uniqueId="{926AF22F-FF09-4FE5-8B62-93FA457F1606}" formatIdx="1">
          <cx:axisId val="2"/>
        </cx:series>
        <cx:series layoutId="clusteredColumn" hidden="1" uniqueId="{97F5D910-4DE6-4FD7-B73F-E6FC95B58134}" formatIdx="2">
          <cx:dataId val="1"/>
          <cx:layoutPr>
            <cx:binning intervalClosed="r"/>
          </cx:layoutPr>
          <cx:axisId val="1"/>
        </cx:series>
        <cx:series layoutId="paretoLine" ownerIdx="2" uniqueId="{13810185-AD72-4B2D-9B71-9A9B54FDB580}" formatIdx="3">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txData>
          <cx:v>Applicant Income Distribution </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panose="020F0502020204030204"/>
            </a:rPr>
            <a:t>Applicant Income Distribution </a:t>
          </a:r>
        </a:p>
      </cx:txPr>
    </cx:title>
    <cx:plotArea>
      <cx:plotAreaRegion>
        <cx:series layoutId="clusteredColumn" uniqueId="{BCE47B15-7FC3-4F3A-A801-98AE1BC19C44}">
          <cx:dataId val="0"/>
          <cx:layoutPr>
            <cx:binning intervalClosed="r"/>
          </cx:layoutPr>
          <cx:axisId val="1"/>
        </cx:series>
        <cx:series layoutId="paretoLine" ownerIdx="0" uniqueId="{80F78CA9-8CBF-492B-9FB0-3409222E81E3}">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chartData>
  <cx:chart>
    <cx:title pos="t" align="ctr" overlay="0">
      <cx:tx>
        <cx:txData>
          <cx:v>CoApplicant Income Distribution </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panose="020F0502020204030204"/>
            </a:rPr>
            <a:t>CoApplicant Income Distribution </a:t>
          </a:r>
        </a:p>
      </cx:txPr>
    </cx:title>
    <cx:plotArea>
      <cx:plotAreaRegion>
        <cx:series layoutId="clusteredColumn" uniqueId="{166E6AC5-624C-4E00-B5B7-3236AE83E8FE}">
          <cx:dataId val="0"/>
          <cx:layoutPr>
            <cx:binning intervalClosed="r"/>
          </cx:layoutPr>
          <cx:axisId val="1"/>
        </cx:series>
        <cx:series layoutId="paretoLine" ownerIdx="0" uniqueId="{093003F1-FE7E-4B35-AEF3-A6FE6583ABB5}">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data id="1">
      <cx:numDim type="val">
        <cx:f>_xlchart.v1.6</cx:f>
      </cx:numDim>
    </cx:data>
    <cx:data id="2">
      <cx:numDim type="val">
        <cx:f>_xlchart.v1.8</cx:f>
      </cx:numDim>
    </cx:data>
  </cx:chartData>
  <cx:chart>
    <cx:title pos="t" align="ctr" overlay="0">
      <cx:tx>
        <cx:rich>
          <a:bodyPr spcFirstLastPara="1" vertOverflow="ellipsis" horzOverflow="overflow" wrap="square" lIns="0" tIns="0" rIns="0" bIns="0" anchor="ctr" anchorCtr="1"/>
          <a:lstStyle/>
          <a:p>
            <a:pPr algn="ctr" rtl="0">
              <a:defRPr/>
            </a:pPr>
            <a:r>
              <a:rPr lang="en-US"/>
              <a:t>Distribution and Outliers of Income and Loan Amount</a:t>
            </a:r>
            <a:endParaRPr lang="en-US" sz="1400" b="0" i="0" u="none" strike="noStrike" baseline="0">
              <a:solidFill>
                <a:srgbClr val="000000">
                  <a:lumMod val="65000"/>
                  <a:lumOff val="35000"/>
                </a:srgbClr>
              </a:solidFill>
              <a:latin typeface="Calibri" panose="020F0502020204030204"/>
            </a:endParaRPr>
          </a:p>
        </cx:rich>
      </cx:tx>
    </cx:title>
    <cx:plotArea>
      <cx:plotAreaRegion>
        <cx:series layoutId="boxWhisker" uniqueId="{91279E48-AE17-4F28-B9F0-D5C3041FDEF7}">
          <cx:tx>
            <cx:txData>
              <cx:f>_xlchart.v1.3</cx:f>
              <cx:v>CoapplicantIncome</cx:v>
            </cx:txData>
          </cx:tx>
          <cx:dataId val="0"/>
          <cx:layoutPr>
            <cx:visibility meanLine="0" meanMarker="1" nonoutliers="0" outliers="1"/>
            <cx:statistics quartileMethod="exclusive"/>
          </cx:layoutPr>
        </cx:series>
        <cx:series layoutId="boxWhisker" uniqueId="{AB245443-520A-4302-AE59-7E03D11BCC72}">
          <cx:tx>
            <cx:txData>
              <cx:f>_xlchart.v1.5</cx:f>
              <cx:v>LoanAmount</cx:v>
            </cx:txData>
          </cx:tx>
          <cx:dataId val="1"/>
          <cx:layoutPr>
            <cx:visibility meanLine="0" meanMarker="1" nonoutliers="0" outliers="1"/>
            <cx:statistics quartileMethod="exclusive"/>
          </cx:layoutPr>
        </cx:series>
        <cx:series layoutId="boxWhisker" uniqueId="{0C0EB778-A56B-426A-8E91-A4ED07030697}">
          <cx:tx>
            <cx:txData>
              <cx:f>_xlchart.v1.7</cx:f>
              <cx:v>Total_Income </cx:v>
            </cx:txData>
          </cx:tx>
          <cx:dataId val="2"/>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microsoft.com/office/2014/relationships/chartEx" Target="../charts/chartEx4.xml"/><Relationship Id="rId2" Type="http://schemas.microsoft.com/office/2014/relationships/chartEx" Target="../charts/chartEx3.xml"/><Relationship Id="rId1" Type="http://schemas.microsoft.com/office/2014/relationships/chartEx" Target="../charts/chartEx2.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9</xdr:col>
      <xdr:colOff>199571</xdr:colOff>
      <xdr:row>1</xdr:row>
      <xdr:rowOff>134256</xdr:rowOff>
    </xdr:from>
    <xdr:to>
      <xdr:col>19</xdr:col>
      <xdr:colOff>217714</xdr:colOff>
      <xdr:row>36</xdr:row>
      <xdr:rowOff>54428</xdr:rowOff>
    </xdr:to>
    <xdr:graphicFrame macro="">
      <xdr:nvGraphicFramePr>
        <xdr:cNvPr id="3" name="Chart 2">
          <a:extLst>
            <a:ext uri="{FF2B5EF4-FFF2-40B4-BE49-F238E27FC236}">
              <a16:creationId xmlns:a16="http://schemas.microsoft.com/office/drawing/2014/main" id="{0C3744D2-36CB-8B1D-53AA-BFEFFE261F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153457</xdr:colOff>
      <xdr:row>5</xdr:row>
      <xdr:rowOff>35983</xdr:rowOff>
    </xdr:from>
    <xdr:to>
      <xdr:col>19</xdr:col>
      <xdr:colOff>179916</xdr:colOff>
      <xdr:row>39</xdr:row>
      <xdr:rowOff>105832</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DBFA2D4-D6C3-0F57-3148-690069642CF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859807" y="842433"/>
              <a:ext cx="6122459" cy="55244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130326</xdr:colOff>
      <xdr:row>5</xdr:row>
      <xdr:rowOff>157238</xdr:rowOff>
    </xdr:from>
    <xdr:to>
      <xdr:col>9</xdr:col>
      <xdr:colOff>673100</xdr:colOff>
      <xdr:row>20</xdr:row>
      <xdr:rowOff>38099</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4C188B79-3745-4133-A5D0-477F2A58B87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30326" y="950988"/>
              <a:ext cx="6029174" cy="226211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114300</xdr:colOff>
      <xdr:row>20</xdr:row>
      <xdr:rowOff>60880</xdr:rowOff>
    </xdr:from>
    <xdr:to>
      <xdr:col>9</xdr:col>
      <xdr:colOff>711200</xdr:colOff>
      <xdr:row>37</xdr:row>
      <xdr:rowOff>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4914ECEC-6910-4D8E-9B68-1DF65B98C50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14300" y="3235880"/>
              <a:ext cx="6083300" cy="26442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40621</xdr:colOff>
      <xdr:row>4</xdr:row>
      <xdr:rowOff>83255</xdr:rowOff>
    </xdr:from>
    <xdr:to>
      <xdr:col>20</xdr:col>
      <xdr:colOff>12700</xdr:colOff>
      <xdr:row>21</xdr:row>
      <xdr:rowOff>12700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44D873EB-6515-4500-8E74-C30B8523A9D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079721" y="718255"/>
              <a:ext cx="4239279" cy="263454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226383</xdr:colOff>
      <xdr:row>37</xdr:row>
      <xdr:rowOff>75395</xdr:rowOff>
    </xdr:from>
    <xdr:to>
      <xdr:col>9</xdr:col>
      <xdr:colOff>571500</xdr:colOff>
      <xdr:row>71</xdr:row>
      <xdr:rowOff>63500</xdr:rowOff>
    </xdr:to>
    <xdr:graphicFrame macro="">
      <xdr:nvGraphicFramePr>
        <xdr:cNvPr id="5" name="Chart 4">
          <a:extLst>
            <a:ext uri="{FF2B5EF4-FFF2-40B4-BE49-F238E27FC236}">
              <a16:creationId xmlns:a16="http://schemas.microsoft.com/office/drawing/2014/main" id="{A623A381-03DE-4F60-9DF2-CCCA82B137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56646</xdr:colOff>
      <xdr:row>4</xdr:row>
      <xdr:rowOff>111278</xdr:rowOff>
    </xdr:from>
    <xdr:to>
      <xdr:col>29</xdr:col>
      <xdr:colOff>584200</xdr:colOff>
      <xdr:row>50</xdr:row>
      <xdr:rowOff>76200</xdr:rowOff>
    </xdr:to>
    <xdr:graphicFrame macro="">
      <xdr:nvGraphicFramePr>
        <xdr:cNvPr id="6" name="Chart 5">
          <a:extLst>
            <a:ext uri="{FF2B5EF4-FFF2-40B4-BE49-F238E27FC236}">
              <a16:creationId xmlns:a16="http://schemas.microsoft.com/office/drawing/2014/main" id="{012682A2-6248-44D9-AB1F-8830AF36B2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444500</xdr:colOff>
      <xdr:row>22</xdr:row>
      <xdr:rowOff>76200</xdr:rowOff>
    </xdr:from>
    <xdr:to>
      <xdr:col>19</xdr:col>
      <xdr:colOff>533400</xdr:colOff>
      <xdr:row>53</xdr:row>
      <xdr:rowOff>76200</xdr:rowOff>
    </xdr:to>
    <xdr:graphicFrame macro="">
      <xdr:nvGraphicFramePr>
        <xdr:cNvPr id="7" name="Chart 6">
          <a:extLst>
            <a:ext uri="{FF2B5EF4-FFF2-40B4-BE49-F238E27FC236}">
              <a16:creationId xmlns:a16="http://schemas.microsoft.com/office/drawing/2014/main" id="{54EBD247-9D0F-4AA5-9C47-22AA8DE8DC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10</xdr:col>
      <xdr:colOff>63500</xdr:colOff>
      <xdr:row>12</xdr:row>
      <xdr:rowOff>0</xdr:rowOff>
    </xdr:from>
    <xdr:to>
      <xdr:col>12</xdr:col>
      <xdr:colOff>431800</xdr:colOff>
      <xdr:row>21</xdr:row>
      <xdr:rowOff>76200</xdr:rowOff>
    </xdr:to>
    <mc:AlternateContent xmlns:mc="http://schemas.openxmlformats.org/markup-compatibility/2006" xmlns:sle15="http://schemas.microsoft.com/office/drawing/2012/slicer">
      <mc:Choice Requires="sle15">
        <xdr:graphicFrame macro="">
          <xdr:nvGraphicFramePr>
            <xdr:cNvPr id="8" name="Education 1">
              <a:extLst>
                <a:ext uri="{FF2B5EF4-FFF2-40B4-BE49-F238E27FC236}">
                  <a16:creationId xmlns:a16="http://schemas.microsoft.com/office/drawing/2014/main" id="{6040A669-CF2A-423E-9522-9DE0E7E5CB95}"/>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6273800" y="1981200"/>
              <a:ext cx="1587500" cy="15621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63500</xdr:colOff>
      <xdr:row>22</xdr:row>
      <xdr:rowOff>76200</xdr:rowOff>
    </xdr:from>
    <xdr:to>
      <xdr:col>12</xdr:col>
      <xdr:colOff>495300</xdr:colOff>
      <xdr:row>33</xdr:row>
      <xdr:rowOff>12700</xdr:rowOff>
    </xdr:to>
    <mc:AlternateContent xmlns:mc="http://schemas.openxmlformats.org/markup-compatibility/2006" xmlns:sle15="http://schemas.microsoft.com/office/drawing/2012/slicer">
      <mc:Choice Requires="sle15">
        <xdr:graphicFrame macro="">
          <xdr:nvGraphicFramePr>
            <xdr:cNvPr id="9" name="Married 1">
              <a:extLst>
                <a:ext uri="{FF2B5EF4-FFF2-40B4-BE49-F238E27FC236}">
                  <a16:creationId xmlns:a16="http://schemas.microsoft.com/office/drawing/2014/main" id="{CD56181E-E9FA-41D1-BD6D-D0DA7CD8BA54}"/>
                </a:ext>
              </a:extLst>
            </xdr:cNvPr>
            <xdr:cNvGraphicFramePr/>
          </xdr:nvGraphicFramePr>
          <xdr:xfrm>
            <a:off x="0" y="0"/>
            <a:ext cx="0" cy="0"/>
          </xdr:xfrm>
          <a:graphic>
            <a:graphicData uri="http://schemas.microsoft.com/office/drawing/2010/slicer">
              <sle:slicer xmlns:sle="http://schemas.microsoft.com/office/drawing/2010/slicer" name="Married 1"/>
            </a:graphicData>
          </a:graphic>
        </xdr:graphicFrame>
      </mc:Choice>
      <mc:Fallback xmlns="">
        <xdr:sp macro="" textlink="">
          <xdr:nvSpPr>
            <xdr:cNvPr id="0" name=""/>
            <xdr:cNvSpPr>
              <a:spLocks noTextEdit="1"/>
            </xdr:cNvSpPr>
          </xdr:nvSpPr>
          <xdr:spPr>
            <a:xfrm>
              <a:off x="6273800" y="3708400"/>
              <a:ext cx="1651000" cy="17526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114300</xdr:colOff>
      <xdr:row>34</xdr:row>
      <xdr:rowOff>25400</xdr:rowOff>
    </xdr:from>
    <xdr:to>
      <xdr:col>12</xdr:col>
      <xdr:colOff>355600</xdr:colOff>
      <xdr:row>44</xdr:row>
      <xdr:rowOff>50800</xdr:rowOff>
    </xdr:to>
    <mc:AlternateContent xmlns:mc="http://schemas.openxmlformats.org/markup-compatibility/2006" xmlns:sle15="http://schemas.microsoft.com/office/drawing/2012/slicer">
      <mc:Choice Requires="sle15">
        <xdr:graphicFrame macro="">
          <xdr:nvGraphicFramePr>
            <xdr:cNvPr id="10" name="Gender 1">
              <a:extLst>
                <a:ext uri="{FF2B5EF4-FFF2-40B4-BE49-F238E27FC236}">
                  <a16:creationId xmlns:a16="http://schemas.microsoft.com/office/drawing/2014/main" id="{DA51D5D7-89D5-4D12-9DBC-229EC593D57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324600" y="5638800"/>
              <a:ext cx="1460500" cy="16764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127000</xdr:colOff>
      <xdr:row>0</xdr:row>
      <xdr:rowOff>76200</xdr:rowOff>
    </xdr:from>
    <xdr:to>
      <xdr:col>29</xdr:col>
      <xdr:colOff>596900</xdr:colOff>
      <xdr:row>4</xdr:row>
      <xdr:rowOff>25400</xdr:rowOff>
    </xdr:to>
    <xdr:sp macro="" textlink="">
      <xdr:nvSpPr>
        <xdr:cNvPr id="11" name="TextBox 10">
          <a:extLst>
            <a:ext uri="{FF2B5EF4-FFF2-40B4-BE49-F238E27FC236}">
              <a16:creationId xmlns:a16="http://schemas.microsoft.com/office/drawing/2014/main" id="{4D744D1B-1127-AA35-3583-016B6A0C4CA6}"/>
            </a:ext>
          </a:extLst>
        </xdr:cNvPr>
        <xdr:cNvSpPr txBox="1"/>
      </xdr:nvSpPr>
      <xdr:spPr>
        <a:xfrm>
          <a:off x="127000" y="76200"/>
          <a:ext cx="18262600" cy="60960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t>Loan Amount Regression &amp; Exploratory Analysis Dashboard</a:t>
          </a:r>
        </a:p>
      </xdr:txBody>
    </xdr:sp>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DDDFF9C-1BBA-4FED-9125-DFD842D59D1B}" sourceName="Gender">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 xr10:uid="{960954A9-C5A7-4C5F-88B5-83F519E2079A}" sourceName="Married">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86AE314-7F61-435E-A193-ABEF3DDA78A4}" sourceName="Education">
  <extLst>
    <x:ext xmlns:x15="http://schemas.microsoft.com/office/spreadsheetml/2010/11/main" uri="{2F2917AC-EB37-4324-AD4E-5DD8C200BD13}">
      <x15:tableSlicerCache tableId="1"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2E7CD386-4148-4406-9367-087A491C6AFD}" cache="Slicer_Gender" caption="Gender" rowHeight="220133"/>
  <slicer name="Married 1" xr10:uid="{55D376EA-C823-4AD1-A3C3-F2F624BB5839}" cache="Slicer_Married" caption="Married" rowHeight="220133"/>
  <slicer name="Education 1" xr10:uid="{BD536588-0623-4DAF-99EF-C2EE33E51CE3}" cache="Slicer_Education" caption="Education" rowHeight="220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Q339" totalsRowShown="0">
  <autoFilter ref="A1:Q339" xr:uid="{00000000-0009-0000-0100-000001000000}"/>
  <tableColumns count="17">
    <tableColumn id="1" xr3:uid="{00000000-0010-0000-0000-000001000000}" name="Loan_ID"/>
    <tableColumn id="2" xr3:uid="{00000000-0010-0000-0000-000002000000}" name="Gender"/>
    <tableColumn id="3" xr3:uid="{00000000-0010-0000-0000-000003000000}" name="Married"/>
    <tableColumn id="4" xr3:uid="{00000000-0010-0000-0000-000004000000}" name="Dependents"/>
    <tableColumn id="5" xr3:uid="{00000000-0010-0000-0000-000005000000}" name="Education"/>
    <tableColumn id="6" xr3:uid="{00000000-0010-0000-0000-000006000000}" name="Self_Employed"/>
    <tableColumn id="7" xr3:uid="{00000000-0010-0000-0000-000007000000}" name="ApplicantIncome"/>
    <tableColumn id="8" xr3:uid="{00000000-0010-0000-0000-000008000000}" name="CoapplicantIncome"/>
    <tableColumn id="9" xr3:uid="{00000000-0010-0000-0000-000009000000}" name="LoanAmount"/>
    <tableColumn id="10" xr3:uid="{00000000-0010-0000-0000-00000A000000}" name="Loan_Amount_Term"/>
    <tableColumn id="11" xr3:uid="{00000000-0010-0000-0000-00000B000000}" name="Credit_History"/>
    <tableColumn id="12" xr3:uid="{00000000-0010-0000-0000-00000C000000}" name="Property_Area"/>
    <tableColumn id="13" xr3:uid="{00000000-0010-0000-0000-00000D000000}" name="Total_Income "/>
    <tableColumn id="14" xr3:uid="{00000000-0010-0000-0000-00000E000000}" name="Loan_to_Income_ratio"/>
    <tableColumn id="15" xr3:uid="{00000000-0010-0000-0000-00000F000000}" name="EMI_estimate "/>
    <tableColumn id="16" xr3:uid="{00000000-0010-0000-0000-000010000000}" name="High_Income"/>
    <tableColumn id="17" xr3:uid="{00000000-0010-0000-0000-000011000000}" name="High_Loan"/>
  </tableColumns>
  <tableStyleInfo name="TableStyleMedium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P339" totalsRowShown="0">
  <autoFilter ref="A1:P339" xr:uid="{00000000-0009-0000-0100-000002000000}"/>
  <tableColumns count="16">
    <tableColumn id="1" xr3:uid="{00000000-0010-0000-0100-000001000000}" name="Loan_ID"/>
    <tableColumn id="2" xr3:uid="{00000000-0010-0000-0100-000002000000}" name="Gender"/>
    <tableColumn id="3" xr3:uid="{00000000-0010-0000-0100-000003000000}" name="Married"/>
    <tableColumn id="4" xr3:uid="{00000000-0010-0000-0100-000004000000}" name="Dependents"/>
    <tableColumn id="5" xr3:uid="{00000000-0010-0000-0100-000005000000}" name="Education"/>
    <tableColumn id="6" xr3:uid="{00000000-0010-0000-0100-000006000000}" name="Self_Employed"/>
    <tableColumn id="7" xr3:uid="{00000000-0010-0000-0100-000007000000}" name="ApplicantIncome"/>
    <tableColumn id="8" xr3:uid="{00000000-0010-0000-0100-000008000000}" name="CoapplicantIncome"/>
    <tableColumn id="9" xr3:uid="{00000000-0010-0000-0100-000009000000}" name="LoanAmount"/>
    <tableColumn id="10" xr3:uid="{00000000-0010-0000-0100-00000A000000}" name="Loan_Amount_Term"/>
    <tableColumn id="11" xr3:uid="{00000000-0010-0000-0100-00000B000000}" name="Credit_History"/>
    <tableColumn id="12" xr3:uid="{00000000-0010-0000-0100-00000C000000}" name="Property_Area"/>
    <tableColumn id="13" xr3:uid="{00000000-0010-0000-0100-00000D000000}" name="Total_Income "/>
    <tableColumn id="14" xr3:uid="{00000000-0010-0000-0100-00000E000000}" name="Loan_to_Income ratio"/>
    <tableColumn id="15" xr3:uid="{00000000-0010-0000-0100-00000F000000}" name="EMI_estimate"/>
    <tableColumn id="16" xr3:uid="{00000000-0010-0000-0100-000010000000}" name="High_Income"/>
  </tableColumns>
  <tableStyleInfo name="TableStyleMedium21"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1FD1150-6934-4C3D-BFCB-B2B570C05863}">
  <we:reference id="wa104379190" version="2.0.0.0" store="en-US" storeType="OMEX"/>
  <we:alternateReferences>
    <we:reference id="WA104379190" version="2.0.0.0" store="" storeType="OMEX"/>
  </we:alternateReferences>
  <we:properties/>
  <we:bindings>
    <we:binding id="RangeSelect" type="matrix" appref="{B1CD476F-7F6F-402F-87E7-0CA45B1AF52B}"/>
    <we:binding id="Input" type="matrix" appref="{BA5E1009-F5FE-44BA-A2A1-D57F38B96FA2}"/>
    <we:binding id="Output" type="matrix" appref="{A0B6701E-49DE-43EE-A57A-540286F81FFF}"/>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7D509-794F-43B0-AFE5-031517A489C9}">
  <dimension ref="A1:N15"/>
  <sheetViews>
    <sheetView zoomScale="75" workbookViewId="0">
      <selection activeCell="G28" sqref="G28"/>
    </sheetView>
  </sheetViews>
  <sheetFormatPr defaultRowHeight="12.5"/>
  <cols>
    <col min="1" max="1" width="19" customWidth="1"/>
    <col min="2" max="2" width="17.90625" customWidth="1"/>
    <col min="4" max="4" width="17.6328125" customWidth="1"/>
    <col min="5" max="5" width="14.1796875" customWidth="1"/>
    <col min="7" max="7" width="22.08984375" customWidth="1"/>
    <col min="8" max="8" width="18.54296875" customWidth="1"/>
    <col min="10" max="10" width="17.36328125" customWidth="1"/>
    <col min="11" max="11" width="18.54296875" customWidth="1"/>
    <col min="13" max="13" width="19.453125" customWidth="1"/>
    <col min="14" max="14" width="18.26953125" customWidth="1"/>
  </cols>
  <sheetData>
    <row r="1" spans="1:14" ht="13">
      <c r="A1" s="5" t="s">
        <v>380</v>
      </c>
      <c r="B1" s="5"/>
      <c r="D1" s="5" t="s">
        <v>381</v>
      </c>
      <c r="E1" s="5"/>
      <c r="G1" s="5" t="s">
        <v>386</v>
      </c>
      <c r="H1" s="5"/>
      <c r="J1" s="5" t="s">
        <v>382</v>
      </c>
      <c r="K1" s="5"/>
      <c r="M1" s="5" t="s">
        <v>383</v>
      </c>
      <c r="N1" s="5"/>
    </row>
    <row r="3" spans="1:14">
      <c r="A3" t="s">
        <v>367</v>
      </c>
      <c r="B3">
        <v>4822.8165680473376</v>
      </c>
      <c r="D3" t="s">
        <v>367</v>
      </c>
      <c r="E3">
        <v>1534.3875739644971</v>
      </c>
      <c r="G3" t="s">
        <v>367</v>
      </c>
      <c r="H3">
        <v>6357.2041420118339</v>
      </c>
      <c r="J3" t="s">
        <v>367</v>
      </c>
      <c r="K3">
        <v>136.58875739644969</v>
      </c>
      <c r="M3" t="s">
        <v>367</v>
      </c>
      <c r="N3">
        <v>342.59171597633139</v>
      </c>
    </row>
    <row r="4" spans="1:14">
      <c r="A4" t="s">
        <v>368</v>
      </c>
      <c r="B4">
        <v>276.35746919652286</v>
      </c>
      <c r="D4" t="s">
        <v>368</v>
      </c>
      <c r="E4">
        <v>123.94389614457256</v>
      </c>
      <c r="G4" t="s">
        <v>368</v>
      </c>
      <c r="H4">
        <v>290.67355361181444</v>
      </c>
      <c r="J4" t="s">
        <v>368</v>
      </c>
      <c r="K4">
        <v>3.3739766568303358</v>
      </c>
      <c r="M4" t="s">
        <v>368</v>
      </c>
      <c r="N4">
        <v>3.5894640861451572</v>
      </c>
    </row>
    <row r="5" spans="1:14">
      <c r="A5" t="s">
        <v>369</v>
      </c>
      <c r="B5">
        <v>3769.5</v>
      </c>
      <c r="D5" t="s">
        <v>369</v>
      </c>
      <c r="E5">
        <v>955</v>
      </c>
      <c r="G5" t="s">
        <v>369</v>
      </c>
      <c r="H5">
        <v>5122</v>
      </c>
      <c r="J5" t="s">
        <v>369</v>
      </c>
      <c r="K5">
        <v>125</v>
      </c>
      <c r="M5" t="s">
        <v>369</v>
      </c>
      <c r="N5">
        <v>360</v>
      </c>
    </row>
    <row r="6" spans="1:14">
      <c r="A6" t="s">
        <v>370</v>
      </c>
      <c r="B6">
        <v>3500</v>
      </c>
      <c r="D6" t="s">
        <v>370</v>
      </c>
      <c r="E6">
        <v>0</v>
      </c>
      <c r="G6" t="s">
        <v>370</v>
      </c>
      <c r="H6">
        <v>5833</v>
      </c>
      <c r="J6" t="s">
        <v>370</v>
      </c>
      <c r="K6">
        <v>150</v>
      </c>
      <c r="M6" t="s">
        <v>370</v>
      </c>
      <c r="N6">
        <v>360</v>
      </c>
    </row>
    <row r="7" spans="1:14">
      <c r="A7" t="s">
        <v>371</v>
      </c>
      <c r="B7">
        <v>5080.7702530107572</v>
      </c>
      <c r="D7" t="s">
        <v>371</v>
      </c>
      <c r="E7">
        <v>2278.6808057132193</v>
      </c>
      <c r="G7" t="s">
        <v>371</v>
      </c>
      <c r="H7">
        <v>5343.9682626331414</v>
      </c>
      <c r="J7" t="s">
        <v>371</v>
      </c>
      <c r="K7">
        <v>62.029806113856026</v>
      </c>
      <c r="M7" t="s">
        <v>371</v>
      </c>
      <c r="N7">
        <v>65.991494299609172</v>
      </c>
    </row>
    <row r="8" spans="1:14">
      <c r="A8" t="s">
        <v>372</v>
      </c>
      <c r="B8">
        <v>25814226.363878991</v>
      </c>
      <c r="D8" t="s">
        <v>372</v>
      </c>
      <c r="E8">
        <v>5192386.2143258471</v>
      </c>
      <c r="G8" t="s">
        <v>372</v>
      </c>
      <c r="H8">
        <v>28557996.792030271</v>
      </c>
      <c r="J8" t="s">
        <v>372</v>
      </c>
      <c r="K8">
        <v>3847.6968465225705</v>
      </c>
      <c r="M8" t="s">
        <v>372</v>
      </c>
      <c r="N8">
        <v>4354.8773198953504</v>
      </c>
    </row>
    <row r="9" spans="1:14">
      <c r="A9" t="s">
        <v>373</v>
      </c>
      <c r="B9">
        <v>97.60348120520554</v>
      </c>
      <c r="D9" t="s">
        <v>373</v>
      </c>
      <c r="E9">
        <v>33.344492404621313</v>
      </c>
      <c r="G9" t="s">
        <v>373</v>
      </c>
      <c r="H9">
        <v>73.229601570452431</v>
      </c>
      <c r="J9" t="s">
        <v>373</v>
      </c>
      <c r="K9">
        <v>9.5692276207700608</v>
      </c>
      <c r="M9" t="s">
        <v>373</v>
      </c>
      <c r="N9">
        <v>8.629164490927689</v>
      </c>
    </row>
    <row r="10" spans="1:14">
      <c r="A10" t="s">
        <v>374</v>
      </c>
      <c r="B10">
        <v>8.2675268876264152</v>
      </c>
      <c r="D10" t="s">
        <v>374</v>
      </c>
      <c r="E10">
        <v>4.3947301286669616</v>
      </c>
      <c r="G10" t="s">
        <v>374</v>
      </c>
      <c r="H10">
        <v>6.9826377585122721</v>
      </c>
      <c r="J10" t="s">
        <v>374</v>
      </c>
      <c r="K10">
        <v>2.2556402782602198</v>
      </c>
      <c r="M10" t="s">
        <v>374</v>
      </c>
      <c r="N10">
        <v>-2.669554195177974</v>
      </c>
    </row>
    <row r="11" spans="1:14">
      <c r="A11" t="s">
        <v>375</v>
      </c>
      <c r="B11">
        <v>72529</v>
      </c>
      <c r="D11" t="s">
        <v>375</v>
      </c>
      <c r="E11">
        <v>24000</v>
      </c>
      <c r="G11" t="s">
        <v>375</v>
      </c>
      <c r="H11">
        <v>70769</v>
      </c>
      <c r="J11" t="s">
        <v>375</v>
      </c>
      <c r="K11">
        <v>522</v>
      </c>
      <c r="M11" t="s">
        <v>375</v>
      </c>
      <c r="N11">
        <v>474</v>
      </c>
    </row>
    <row r="12" spans="1:14">
      <c r="A12" t="s">
        <v>376</v>
      </c>
      <c r="B12">
        <v>0</v>
      </c>
      <c r="D12" t="s">
        <v>376</v>
      </c>
      <c r="E12">
        <v>0</v>
      </c>
      <c r="G12" t="s">
        <v>376</v>
      </c>
      <c r="H12">
        <v>1760</v>
      </c>
      <c r="J12" t="s">
        <v>376</v>
      </c>
      <c r="K12">
        <v>28</v>
      </c>
      <c r="M12" t="s">
        <v>376</v>
      </c>
      <c r="N12">
        <v>6</v>
      </c>
    </row>
    <row r="13" spans="1:14">
      <c r="A13" t="s">
        <v>377</v>
      </c>
      <c r="B13">
        <v>72529</v>
      </c>
      <c r="D13" t="s">
        <v>377</v>
      </c>
      <c r="E13">
        <v>24000</v>
      </c>
      <c r="G13" t="s">
        <v>377</v>
      </c>
      <c r="H13">
        <v>72529</v>
      </c>
      <c r="J13" t="s">
        <v>377</v>
      </c>
      <c r="K13">
        <v>550</v>
      </c>
      <c r="M13" t="s">
        <v>377</v>
      </c>
      <c r="N13">
        <v>480</v>
      </c>
    </row>
    <row r="14" spans="1:14">
      <c r="A14" t="s">
        <v>378</v>
      </c>
      <c r="B14">
        <v>1630112</v>
      </c>
      <c r="D14" t="s">
        <v>378</v>
      </c>
      <c r="E14">
        <v>518623</v>
      </c>
      <c r="G14" t="s">
        <v>378</v>
      </c>
      <c r="H14">
        <v>2148735</v>
      </c>
      <c r="J14" t="s">
        <v>378</v>
      </c>
      <c r="K14">
        <v>46167</v>
      </c>
      <c r="M14" t="s">
        <v>378</v>
      </c>
      <c r="N14">
        <v>115796</v>
      </c>
    </row>
    <row r="15" spans="1:14" ht="13" thickBot="1">
      <c r="A15" s="3" t="s">
        <v>379</v>
      </c>
      <c r="B15" s="3">
        <v>338</v>
      </c>
      <c r="D15" s="3" t="s">
        <v>379</v>
      </c>
      <c r="E15" s="3">
        <v>338</v>
      </c>
      <c r="G15" s="3" t="s">
        <v>379</v>
      </c>
      <c r="H15" s="3">
        <v>338</v>
      </c>
      <c r="J15" s="3" t="s">
        <v>379</v>
      </c>
      <c r="K15" s="3">
        <v>338</v>
      </c>
      <c r="M15" s="3" t="s">
        <v>379</v>
      </c>
      <c r="N15" s="3">
        <v>338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C980D-4C7A-4F7B-8297-2A856F12353F}">
  <dimension ref="A1:O28"/>
  <sheetViews>
    <sheetView topLeftCell="A2" zoomScale="89" workbookViewId="0">
      <selection activeCell="O22" sqref="O22"/>
    </sheetView>
  </sheetViews>
  <sheetFormatPr defaultRowHeight="12.5"/>
  <cols>
    <col min="1" max="1" width="18.453125" customWidth="1"/>
    <col min="5" max="5" width="17" customWidth="1"/>
    <col min="15" max="15" width="8.1796875" customWidth="1"/>
  </cols>
  <sheetData>
    <row r="1" spans="1:15" ht="13" thickBot="1">
      <c r="A1" s="9" t="s">
        <v>389</v>
      </c>
      <c r="B1" s="9"/>
      <c r="D1" s="9" t="s">
        <v>385</v>
      </c>
      <c r="E1" s="9"/>
      <c r="G1" s="9" t="s">
        <v>390</v>
      </c>
      <c r="H1" s="9"/>
      <c r="J1" s="9" t="s">
        <v>387</v>
      </c>
      <c r="K1" s="9"/>
      <c r="M1" s="10" t="s">
        <v>391</v>
      </c>
      <c r="N1" s="10"/>
    </row>
    <row r="2" spans="1:15" ht="13">
      <c r="A2" s="4"/>
      <c r="B2" s="4">
        <v>5720</v>
      </c>
      <c r="D2" s="4"/>
      <c r="E2" s="4">
        <v>0</v>
      </c>
      <c r="G2" s="4"/>
      <c r="H2" s="4">
        <v>5720</v>
      </c>
      <c r="J2" s="4"/>
      <c r="K2" s="4">
        <v>110</v>
      </c>
      <c r="M2" s="4"/>
      <c r="N2" s="4">
        <v>360</v>
      </c>
    </row>
    <row r="3" spans="1:15" ht="13" thickBot="1">
      <c r="A3" s="3">
        <v>5720</v>
      </c>
      <c r="B3" s="3">
        <v>1</v>
      </c>
      <c r="D3" s="3">
        <v>0</v>
      </c>
      <c r="E3" s="3">
        <v>1</v>
      </c>
      <c r="G3" s="3">
        <v>5720</v>
      </c>
      <c r="H3" s="3">
        <v>1</v>
      </c>
      <c r="J3" s="3">
        <v>110</v>
      </c>
      <c r="K3" s="3">
        <v>1</v>
      </c>
      <c r="M3" s="3">
        <v>360</v>
      </c>
      <c r="N3" s="3">
        <v>1</v>
      </c>
    </row>
    <row r="4" spans="1:15" ht="17.5">
      <c r="A4" s="8" t="s">
        <v>393</v>
      </c>
      <c r="B4" s="8"/>
      <c r="C4" s="8"/>
      <c r="D4" s="8"/>
      <c r="E4" s="8"/>
      <c r="F4" s="8"/>
      <c r="G4" s="8"/>
      <c r="H4" s="8"/>
      <c r="I4" s="8"/>
      <c r="J4" s="8"/>
      <c r="K4" s="8"/>
      <c r="L4" s="8"/>
      <c r="M4" s="8"/>
      <c r="N4" s="8"/>
      <c r="O4" s="8"/>
    </row>
    <row r="5" spans="1:15" ht="13" thickBot="1">
      <c r="B5" s="9" t="s">
        <v>389</v>
      </c>
      <c r="C5" s="9"/>
      <c r="E5" s="9" t="s">
        <v>385</v>
      </c>
      <c r="F5" s="9"/>
      <c r="H5" s="9" t="s">
        <v>390</v>
      </c>
      <c r="I5" s="9"/>
      <c r="K5" s="9" t="s">
        <v>387</v>
      </c>
      <c r="L5" s="9"/>
      <c r="N5" s="10"/>
      <c r="O5" s="10"/>
    </row>
    <row r="6" spans="1:15">
      <c r="A6" t="s">
        <v>389</v>
      </c>
      <c r="B6">
        <v>1</v>
      </c>
    </row>
    <row r="7" spans="1:15">
      <c r="C7">
        <v>1</v>
      </c>
    </row>
    <row r="8" spans="1:15">
      <c r="D8">
        <v>1</v>
      </c>
    </row>
    <row r="9" spans="1:15">
      <c r="A9" t="s">
        <v>385</v>
      </c>
      <c r="E9">
        <v>1</v>
      </c>
    </row>
    <row r="10" spans="1:15">
      <c r="C10">
        <v>-1</v>
      </c>
      <c r="F10">
        <v>1</v>
      </c>
    </row>
    <row r="11" spans="1:15">
      <c r="G11">
        <v>1</v>
      </c>
    </row>
    <row r="12" spans="1:15">
      <c r="A12" t="s">
        <v>390</v>
      </c>
      <c r="H12">
        <v>1</v>
      </c>
    </row>
    <row r="13" spans="1:15">
      <c r="C13">
        <v>1.0000000000000002</v>
      </c>
      <c r="F13">
        <v>-1</v>
      </c>
      <c r="I13">
        <v>1</v>
      </c>
    </row>
    <row r="14" spans="1:15">
      <c r="J14">
        <v>1</v>
      </c>
    </row>
    <row r="15" spans="1:15">
      <c r="A15" t="s">
        <v>387</v>
      </c>
      <c r="K15">
        <v>1</v>
      </c>
    </row>
    <row r="16" spans="1:15">
      <c r="C16">
        <v>1</v>
      </c>
      <c r="F16">
        <v>-1</v>
      </c>
      <c r="I16">
        <v>1</v>
      </c>
      <c r="L16">
        <v>1</v>
      </c>
    </row>
    <row r="26" spans="9:14">
      <c r="I26" t="s">
        <v>392</v>
      </c>
    </row>
    <row r="28" spans="9:14">
      <c r="N28" t="s">
        <v>392</v>
      </c>
    </row>
  </sheetData>
  <mergeCells count="11">
    <mergeCell ref="B5:C5"/>
    <mergeCell ref="E5:F5"/>
    <mergeCell ref="H5:I5"/>
    <mergeCell ref="K5:L5"/>
    <mergeCell ref="N5:O5"/>
    <mergeCell ref="A4:O4"/>
    <mergeCell ref="A1:B1"/>
    <mergeCell ref="D1:E1"/>
    <mergeCell ref="G1:H1"/>
    <mergeCell ref="J1:K1"/>
    <mergeCell ref="M1:N1"/>
  </mergeCells>
  <conditionalFormatting sqref="A5:O20">
    <cfRule type="colorScale" priority="4">
      <colorScale>
        <cfvo type="min"/>
        <cfvo type="max"/>
        <color theme="4"/>
        <color rgb="FF00B050"/>
      </colorScale>
    </cfRule>
    <cfRule type="colorScale" priority="6">
      <colorScale>
        <cfvo type="min"/>
        <cfvo type="max"/>
        <color rgb="FFF8696B"/>
        <color rgb="FFFCFCFF"/>
      </colorScale>
    </cfRule>
  </conditionalFormatting>
  <conditionalFormatting sqref="A5:O21">
    <cfRule type="colorScale" priority="5">
      <colorScale>
        <cfvo type="num" val="-1"/>
        <cfvo type="num" val="0"/>
        <cfvo type="num" val="1"/>
        <color theme="4"/>
        <color rgb="FFFF0000"/>
        <color rgb="FFFFFF00"/>
      </colorScale>
    </cfRule>
  </conditionalFormatting>
  <conditionalFormatting sqref="A6:O21">
    <cfRule type="colorScale" priority="3">
      <colorScale>
        <cfvo type="min"/>
        <cfvo type="max"/>
        <color theme="4"/>
        <color rgb="FF00B050"/>
      </colorScale>
    </cfRule>
  </conditionalFormatting>
  <conditionalFormatting sqref="B6:M17">
    <cfRule type="colorScale" priority="1">
      <colorScale>
        <cfvo type="min"/>
        <cfvo type="max"/>
        <color rgb="FFFF7128"/>
        <color rgb="FFFFFF00"/>
      </colorScale>
    </cfRule>
  </conditionalFormatting>
  <conditionalFormatting sqref="B6:O19">
    <cfRule type="colorScale" priority="2">
      <colorScale>
        <cfvo type="min"/>
        <cfvo type="percentile" val="50"/>
        <cfvo type="max"/>
        <color rgb="FFF8696B"/>
        <color rgb="FFFFEB84"/>
        <color rgb="FF63BE7B"/>
      </colorScale>
    </cfRule>
  </conditionalFormatting>
  <pageMargins left="0.7" right="0.7" top="0.75" bottom="0.75" header="0.3" footer="0.3"/>
  <extLst>
    <ext xmlns:x15="http://schemas.microsoft.com/office/spreadsheetml/2010/11/main" uri="{F7C9EE02-42E1-4005-9D12-6889AFFD525C}">
      <x15:webExtensions xmlns:xm="http://schemas.microsoft.com/office/excel/2006/main">
        <x15:webExtension appRef="{B1CD476F-7F6F-402F-87E7-0CA45B1AF52B}">
          <xm:f>Corr_matrix_train!1:1048576</xm:f>
        </x15:webExtension>
        <x15:webExtension appRef="{BA5E1009-F5FE-44BA-A2A1-D57F38B96FA2}">
          <xm:f>Corr_matrix_train!$A$1:$L$3</xm:f>
        </x15:webExtension>
        <x15:webExtension appRef="{A0B6701E-49DE-43EE-A57A-540286F81FFF}">
          <xm:f>Corr_matrix_train!$A$5:$N$18</xm:f>
        </x15:webExtension>
      </x15:webExtens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445F3-2D7C-4076-AD1B-332EA1AD27A8}">
  <dimension ref="A1:O20"/>
  <sheetViews>
    <sheetView zoomScale="78" workbookViewId="0">
      <selection activeCell="D31" sqref="D31"/>
    </sheetView>
  </sheetViews>
  <sheetFormatPr defaultRowHeight="12.5"/>
  <cols>
    <col min="1" max="1" width="24.54296875" customWidth="1"/>
    <col min="2" max="2" width="8.7265625" customWidth="1"/>
    <col min="5" max="5" width="11.54296875" customWidth="1"/>
  </cols>
  <sheetData>
    <row r="1" spans="1:15" ht="13" thickBot="1">
      <c r="A1" s="9" t="s">
        <v>389</v>
      </c>
      <c r="B1" s="9"/>
      <c r="D1" s="9" t="s">
        <v>385</v>
      </c>
      <c r="E1" s="9"/>
      <c r="G1" s="9" t="s">
        <v>390</v>
      </c>
      <c r="H1" s="9"/>
      <c r="J1" s="9" t="s">
        <v>387</v>
      </c>
      <c r="K1" s="9"/>
      <c r="M1" s="10" t="s">
        <v>391</v>
      </c>
      <c r="N1" s="10"/>
    </row>
    <row r="2" spans="1:15" ht="13">
      <c r="A2" s="4"/>
      <c r="B2" s="4">
        <v>5720</v>
      </c>
      <c r="D2" s="4"/>
      <c r="E2" s="4">
        <v>0</v>
      </c>
      <c r="G2" s="4"/>
      <c r="H2" s="4">
        <v>5720</v>
      </c>
      <c r="J2" s="4"/>
      <c r="K2" s="4">
        <v>110</v>
      </c>
      <c r="M2" s="4"/>
      <c r="N2" s="4">
        <v>360</v>
      </c>
    </row>
    <row r="3" spans="1:15" ht="13" thickBot="1">
      <c r="A3" s="3">
        <v>5720</v>
      </c>
      <c r="B3" s="3">
        <v>1</v>
      </c>
      <c r="D3" s="3">
        <v>0</v>
      </c>
      <c r="E3" s="3">
        <v>1</v>
      </c>
      <c r="G3" s="3">
        <v>5720</v>
      </c>
      <c r="H3" s="3">
        <v>1</v>
      </c>
      <c r="J3" s="3">
        <v>110</v>
      </c>
      <c r="K3" s="3">
        <v>1</v>
      </c>
      <c r="M3" s="3">
        <v>360</v>
      </c>
      <c r="N3" s="3">
        <v>1</v>
      </c>
    </row>
    <row r="5" spans="1:15" ht="15.5">
      <c r="A5" s="11" t="s">
        <v>393</v>
      </c>
      <c r="B5" s="11"/>
      <c r="C5" s="11"/>
      <c r="D5" s="11"/>
      <c r="E5" s="11"/>
      <c r="F5" s="11"/>
      <c r="G5" s="11"/>
      <c r="H5" s="11"/>
      <c r="I5" s="11"/>
      <c r="J5" s="11"/>
      <c r="K5" s="11"/>
      <c r="L5" s="11"/>
      <c r="M5" s="11"/>
      <c r="N5" s="11"/>
      <c r="O5" s="11"/>
    </row>
    <row r="6" spans="1:15">
      <c r="B6" t="s">
        <v>389</v>
      </c>
      <c r="E6" t="s">
        <v>385</v>
      </c>
      <c r="H6" t="s">
        <v>390</v>
      </c>
      <c r="K6" t="s">
        <v>387</v>
      </c>
      <c r="N6" t="s">
        <v>391</v>
      </c>
    </row>
    <row r="7" spans="1:15">
      <c r="A7" s="12" t="s">
        <v>389</v>
      </c>
      <c r="B7" s="12"/>
      <c r="D7" s="10"/>
      <c r="E7" s="10"/>
    </row>
    <row r="8" spans="1:15">
      <c r="C8">
        <v>1</v>
      </c>
    </row>
    <row r="9" spans="1:15">
      <c r="D9">
        <v>1</v>
      </c>
    </row>
    <row r="10" spans="1:15">
      <c r="A10" t="s">
        <v>385</v>
      </c>
      <c r="E10">
        <v>1</v>
      </c>
    </row>
    <row r="11" spans="1:15">
      <c r="C11">
        <v>-1</v>
      </c>
      <c r="F11">
        <v>1</v>
      </c>
    </row>
    <row r="12" spans="1:15">
      <c r="G12">
        <v>1</v>
      </c>
    </row>
    <row r="13" spans="1:15">
      <c r="A13" t="s">
        <v>390</v>
      </c>
      <c r="H13">
        <v>1</v>
      </c>
    </row>
    <row r="14" spans="1:15">
      <c r="C14">
        <v>1.0000000000000002</v>
      </c>
      <c r="F14">
        <v>-1</v>
      </c>
      <c r="I14">
        <v>1</v>
      </c>
    </row>
    <row r="15" spans="1:15">
      <c r="J15">
        <v>1</v>
      </c>
    </row>
    <row r="16" spans="1:15">
      <c r="A16" t="s">
        <v>387</v>
      </c>
      <c r="K16">
        <v>1</v>
      </c>
    </row>
    <row r="17" spans="1:15">
      <c r="C17">
        <v>1</v>
      </c>
      <c r="F17">
        <v>-1</v>
      </c>
      <c r="I17">
        <v>1</v>
      </c>
      <c r="L17">
        <v>1</v>
      </c>
    </row>
    <row r="18" spans="1:15">
      <c r="M18">
        <v>1</v>
      </c>
    </row>
    <row r="19" spans="1:15">
      <c r="A19" t="s">
        <v>391</v>
      </c>
      <c r="N19">
        <v>1</v>
      </c>
    </row>
    <row r="20" spans="1:15">
      <c r="C20">
        <v>1</v>
      </c>
      <c r="F20">
        <v>-0.99999999999999989</v>
      </c>
      <c r="I20">
        <v>1</v>
      </c>
      <c r="L20">
        <v>1</v>
      </c>
      <c r="O20">
        <v>1</v>
      </c>
    </row>
  </sheetData>
  <mergeCells count="8">
    <mergeCell ref="G1:H1"/>
    <mergeCell ref="J1:K1"/>
    <mergeCell ref="M1:N1"/>
    <mergeCell ref="A5:O5"/>
    <mergeCell ref="A7:B7"/>
    <mergeCell ref="D7:E7"/>
    <mergeCell ref="A1:B1"/>
    <mergeCell ref="D1:E1"/>
  </mergeCells>
  <conditionalFormatting sqref="A6:O20">
    <cfRule type="colorScale" priority="2">
      <colorScale>
        <cfvo type="min"/>
        <cfvo type="percentile" val="50"/>
        <cfvo type="max"/>
        <color rgb="FFF8696B"/>
        <color rgb="FFFFEB84"/>
        <color rgb="FF63BE7B"/>
      </colorScale>
    </cfRule>
  </conditionalFormatting>
  <conditionalFormatting sqref="C8:P21">
    <cfRule type="colorScale" priority="1">
      <colorScale>
        <cfvo type="min"/>
        <cfvo type="max"/>
        <color rgb="FFFF7128"/>
        <color rgb="FFFFFF00"/>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64551-666D-4CB8-BC2A-64BF841A9AA5}">
  <dimension ref="A1:O15"/>
  <sheetViews>
    <sheetView zoomScale="72" workbookViewId="0">
      <selection activeCell="H24" sqref="H24"/>
    </sheetView>
  </sheetViews>
  <sheetFormatPr defaultRowHeight="12.5"/>
  <cols>
    <col min="1" max="1" width="18.453125" customWidth="1"/>
    <col min="2" max="2" width="15" customWidth="1"/>
    <col min="5" max="5" width="21.08984375" customWidth="1"/>
    <col min="6" max="6" width="16.6328125" customWidth="1"/>
    <col min="8" max="8" width="18.54296875" customWidth="1"/>
    <col min="9" max="9" width="16.08984375" customWidth="1"/>
    <col min="11" max="11" width="17.90625" customWidth="1"/>
    <col min="12" max="12" width="19.453125" customWidth="1"/>
    <col min="14" max="14" width="17.90625" customWidth="1"/>
    <col min="15" max="15" width="16.08984375" customWidth="1"/>
  </cols>
  <sheetData>
    <row r="1" spans="1:15" ht="13">
      <c r="A1" s="5" t="s">
        <v>384</v>
      </c>
      <c r="B1" s="5"/>
      <c r="E1" s="5" t="s">
        <v>385</v>
      </c>
      <c r="F1" s="5"/>
      <c r="H1" s="5" t="s">
        <v>12</v>
      </c>
      <c r="I1" s="5"/>
      <c r="K1" s="5" t="s">
        <v>387</v>
      </c>
      <c r="L1" s="5"/>
      <c r="N1" s="5" t="s">
        <v>388</v>
      </c>
      <c r="O1" s="5"/>
    </row>
    <row r="3" spans="1:15">
      <c r="A3" t="s">
        <v>367</v>
      </c>
      <c r="B3">
        <v>4822.8165680473376</v>
      </c>
      <c r="E3" t="s">
        <v>367</v>
      </c>
      <c r="F3">
        <v>1534.3875739644971</v>
      </c>
      <c r="H3" t="s">
        <v>367</v>
      </c>
      <c r="I3">
        <v>6357.2041420118339</v>
      </c>
      <c r="K3" t="s">
        <v>367</v>
      </c>
      <c r="L3">
        <v>136.58875739644969</v>
      </c>
      <c r="N3" t="s">
        <v>367</v>
      </c>
      <c r="O3">
        <v>342.59171597633139</v>
      </c>
    </row>
    <row r="4" spans="1:15">
      <c r="A4" t="s">
        <v>368</v>
      </c>
      <c r="B4">
        <v>276.35746919652286</v>
      </c>
      <c r="E4" t="s">
        <v>368</v>
      </c>
      <c r="F4">
        <v>123.94389614457256</v>
      </c>
      <c r="H4" t="s">
        <v>368</v>
      </c>
      <c r="I4">
        <v>290.67355361181444</v>
      </c>
      <c r="K4" t="s">
        <v>368</v>
      </c>
      <c r="L4">
        <v>3.3739766568303358</v>
      </c>
      <c r="N4" t="s">
        <v>368</v>
      </c>
      <c r="O4">
        <v>3.5894640861451572</v>
      </c>
    </row>
    <row r="5" spans="1:15">
      <c r="A5" t="s">
        <v>369</v>
      </c>
      <c r="B5">
        <v>3769.5</v>
      </c>
      <c r="E5" t="s">
        <v>369</v>
      </c>
      <c r="F5">
        <v>955</v>
      </c>
      <c r="H5" t="s">
        <v>369</v>
      </c>
      <c r="I5">
        <v>5122</v>
      </c>
      <c r="K5" t="s">
        <v>369</v>
      </c>
      <c r="L5">
        <v>125</v>
      </c>
      <c r="N5" t="s">
        <v>369</v>
      </c>
      <c r="O5">
        <v>360</v>
      </c>
    </row>
    <row r="6" spans="1:15">
      <c r="A6" t="s">
        <v>370</v>
      </c>
      <c r="B6">
        <v>3500</v>
      </c>
      <c r="E6" t="s">
        <v>370</v>
      </c>
      <c r="F6">
        <v>0</v>
      </c>
      <c r="H6" t="s">
        <v>370</v>
      </c>
      <c r="I6">
        <v>5833</v>
      </c>
      <c r="K6" t="s">
        <v>370</v>
      </c>
      <c r="L6">
        <v>150</v>
      </c>
      <c r="N6" t="s">
        <v>370</v>
      </c>
      <c r="O6">
        <v>360</v>
      </c>
    </row>
    <row r="7" spans="1:15">
      <c r="A7" t="s">
        <v>371</v>
      </c>
      <c r="B7">
        <v>5080.7702530107572</v>
      </c>
      <c r="E7" t="s">
        <v>371</v>
      </c>
      <c r="F7">
        <v>2278.6808057132193</v>
      </c>
      <c r="H7" t="s">
        <v>371</v>
      </c>
      <c r="I7">
        <v>5343.9682626331414</v>
      </c>
      <c r="K7" t="s">
        <v>371</v>
      </c>
      <c r="L7">
        <v>62.029806113856026</v>
      </c>
      <c r="N7" t="s">
        <v>371</v>
      </c>
      <c r="O7">
        <v>65.991494299609172</v>
      </c>
    </row>
    <row r="8" spans="1:15">
      <c r="A8" t="s">
        <v>372</v>
      </c>
      <c r="B8">
        <v>25814226.363878991</v>
      </c>
      <c r="E8" t="s">
        <v>372</v>
      </c>
      <c r="F8">
        <v>5192386.2143258471</v>
      </c>
      <c r="H8" t="s">
        <v>372</v>
      </c>
      <c r="I8">
        <v>28557996.792030271</v>
      </c>
      <c r="K8" t="s">
        <v>372</v>
      </c>
      <c r="L8">
        <v>3847.6968465225705</v>
      </c>
      <c r="N8" t="s">
        <v>372</v>
      </c>
      <c r="O8">
        <v>4354.8773198953504</v>
      </c>
    </row>
    <row r="9" spans="1:15">
      <c r="A9" t="s">
        <v>373</v>
      </c>
      <c r="B9">
        <v>97.60348120520554</v>
      </c>
      <c r="E9" t="s">
        <v>373</v>
      </c>
      <c r="F9">
        <v>33.344492404621313</v>
      </c>
      <c r="H9" t="s">
        <v>373</v>
      </c>
      <c r="I9">
        <v>73.229601570452431</v>
      </c>
      <c r="K9" t="s">
        <v>373</v>
      </c>
      <c r="L9">
        <v>9.5692276207700608</v>
      </c>
      <c r="N9" t="s">
        <v>373</v>
      </c>
      <c r="O9">
        <v>8.629164490927689</v>
      </c>
    </row>
    <row r="10" spans="1:15">
      <c r="A10" t="s">
        <v>374</v>
      </c>
      <c r="B10">
        <v>8.2675268876264152</v>
      </c>
      <c r="E10" t="s">
        <v>374</v>
      </c>
      <c r="F10">
        <v>4.3947301286669616</v>
      </c>
      <c r="H10" t="s">
        <v>374</v>
      </c>
      <c r="I10">
        <v>6.9826377585122721</v>
      </c>
      <c r="K10" t="s">
        <v>374</v>
      </c>
      <c r="L10">
        <v>2.2556402782602198</v>
      </c>
      <c r="N10" t="s">
        <v>374</v>
      </c>
      <c r="O10">
        <v>-2.669554195177974</v>
      </c>
    </row>
    <row r="11" spans="1:15">
      <c r="A11" t="s">
        <v>375</v>
      </c>
      <c r="B11">
        <v>72529</v>
      </c>
      <c r="E11" t="s">
        <v>375</v>
      </c>
      <c r="F11">
        <v>24000</v>
      </c>
      <c r="H11" t="s">
        <v>375</v>
      </c>
      <c r="I11">
        <v>70769</v>
      </c>
      <c r="K11" t="s">
        <v>375</v>
      </c>
      <c r="L11">
        <v>522</v>
      </c>
      <c r="N11" t="s">
        <v>375</v>
      </c>
      <c r="O11">
        <v>474</v>
      </c>
    </row>
    <row r="12" spans="1:15">
      <c r="A12" t="s">
        <v>376</v>
      </c>
      <c r="B12">
        <v>0</v>
      </c>
      <c r="E12" t="s">
        <v>376</v>
      </c>
      <c r="F12">
        <v>0</v>
      </c>
      <c r="H12" t="s">
        <v>376</v>
      </c>
      <c r="I12">
        <v>1760</v>
      </c>
      <c r="K12" t="s">
        <v>376</v>
      </c>
      <c r="L12">
        <v>28</v>
      </c>
      <c r="N12" t="s">
        <v>376</v>
      </c>
      <c r="O12">
        <v>6</v>
      </c>
    </row>
    <row r="13" spans="1:15">
      <c r="A13" t="s">
        <v>377</v>
      </c>
      <c r="B13">
        <v>72529</v>
      </c>
      <c r="E13" t="s">
        <v>377</v>
      </c>
      <c r="F13">
        <v>24000</v>
      </c>
      <c r="H13" t="s">
        <v>377</v>
      </c>
      <c r="I13">
        <v>72529</v>
      </c>
      <c r="K13" t="s">
        <v>377</v>
      </c>
      <c r="L13">
        <v>550</v>
      </c>
      <c r="N13" t="s">
        <v>377</v>
      </c>
      <c r="O13">
        <v>480</v>
      </c>
    </row>
    <row r="14" spans="1:15">
      <c r="A14" t="s">
        <v>378</v>
      </c>
      <c r="B14">
        <v>1630112</v>
      </c>
      <c r="E14" t="s">
        <v>378</v>
      </c>
      <c r="F14">
        <v>518623</v>
      </c>
      <c r="H14" t="s">
        <v>378</v>
      </c>
      <c r="I14">
        <v>2148735</v>
      </c>
      <c r="K14" t="s">
        <v>378</v>
      </c>
      <c r="L14">
        <v>46167</v>
      </c>
      <c r="N14" t="s">
        <v>378</v>
      </c>
      <c r="O14">
        <v>115796</v>
      </c>
    </row>
    <row r="15" spans="1:15" ht="13" thickBot="1">
      <c r="A15" s="3" t="s">
        <v>379</v>
      </c>
      <c r="B15" s="3">
        <v>338</v>
      </c>
      <c r="E15" s="3" t="s">
        <v>379</v>
      </c>
      <c r="F15" s="3">
        <v>338</v>
      </c>
      <c r="H15" s="3" t="s">
        <v>379</v>
      </c>
      <c r="I15" s="3">
        <v>338</v>
      </c>
      <c r="K15" s="3" t="s">
        <v>379</v>
      </c>
      <c r="L15" s="3">
        <v>338</v>
      </c>
      <c r="N15" s="3" t="s">
        <v>379</v>
      </c>
      <c r="O15" s="3">
        <v>338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5533D-A7D8-4FF3-8EDF-D834E6968903}">
  <dimension ref="A1:I361"/>
  <sheetViews>
    <sheetView topLeftCell="B1" zoomScale="70" zoomScaleNormal="70" workbookViewId="0">
      <selection activeCell="F33" sqref="F33"/>
    </sheetView>
  </sheetViews>
  <sheetFormatPr defaultRowHeight="12.5"/>
  <cols>
    <col min="1" max="1" width="19.7265625" customWidth="1"/>
    <col min="2" max="2" width="18.453125" customWidth="1"/>
    <col min="3" max="3" width="17.81640625" customWidth="1"/>
    <col min="6" max="6" width="21.54296875" customWidth="1"/>
    <col min="7" max="7" width="18.54296875" customWidth="1"/>
    <col min="8" max="8" width="14.54296875" customWidth="1"/>
    <col min="9" max="9" width="15.6328125" customWidth="1"/>
  </cols>
  <sheetData>
    <row r="1" spans="1:9">
      <c r="A1" t="s">
        <v>420</v>
      </c>
    </row>
    <row r="2" spans="1:9" ht="13" thickBot="1"/>
    <row r="3" spans="1:9" ht="13">
      <c r="A3" s="5" t="s">
        <v>394</v>
      </c>
      <c r="B3" s="5"/>
    </row>
    <row r="4" spans="1:9">
      <c r="A4" t="s">
        <v>395</v>
      </c>
      <c r="B4">
        <v>1.492066321236306E-3</v>
      </c>
    </row>
    <row r="5" spans="1:9">
      <c r="A5" t="s">
        <v>396</v>
      </c>
      <c r="B5">
        <v>2.2262619069676435E-6</v>
      </c>
    </row>
    <row r="6" spans="1:9">
      <c r="A6" t="s">
        <v>397</v>
      </c>
      <c r="B6">
        <v>-2.9828417194007729E-3</v>
      </c>
    </row>
    <row r="7" spans="1:9">
      <c r="A7" t="s">
        <v>368</v>
      </c>
      <c r="B7">
        <v>62.197612189398797</v>
      </c>
    </row>
    <row r="8" spans="1:9" ht="13" thickBot="1">
      <c r="A8" s="3" t="s">
        <v>398</v>
      </c>
      <c r="B8" s="3">
        <v>338</v>
      </c>
    </row>
    <row r="10" spans="1:9" ht="13" thickBot="1">
      <c r="A10" t="s">
        <v>399</v>
      </c>
    </row>
    <row r="11" spans="1:9" ht="13">
      <c r="A11" s="4"/>
      <c r="B11" s="4" t="s">
        <v>404</v>
      </c>
      <c r="C11" s="4" t="s">
        <v>405</v>
      </c>
      <c r="D11" s="4" t="s">
        <v>406</v>
      </c>
      <c r="E11" s="4" t="s">
        <v>407</v>
      </c>
      <c r="F11" s="4" t="s">
        <v>408</v>
      </c>
    </row>
    <row r="12" spans="1:9">
      <c r="A12" t="s">
        <v>400</v>
      </c>
      <c r="B12">
        <v>1</v>
      </c>
      <c r="C12">
        <v>2.8851570168044418</v>
      </c>
      <c r="D12">
        <v>2.8851570168044418</v>
      </c>
      <c r="E12">
        <v>7.4579939917895324E-4</v>
      </c>
      <c r="F12">
        <v>0.97822927785567038</v>
      </c>
    </row>
    <row r="13" spans="1:9">
      <c r="A13" t="s">
        <v>401</v>
      </c>
      <c r="B13">
        <v>335</v>
      </c>
      <c r="C13">
        <v>1295961.8922910548</v>
      </c>
      <c r="D13">
        <v>3868.5429620628502</v>
      </c>
    </row>
    <row r="14" spans="1:9" ht="13" thickBot="1">
      <c r="A14" s="3" t="s">
        <v>402</v>
      </c>
      <c r="B14" s="3">
        <v>336</v>
      </c>
      <c r="C14" s="3">
        <v>1295964.7774480716</v>
      </c>
      <c r="D14" s="3"/>
      <c r="E14" s="3"/>
      <c r="F14" s="3"/>
    </row>
    <row r="15" spans="1:9" ht="13" thickBot="1"/>
    <row r="16" spans="1:9" ht="13">
      <c r="A16" s="4"/>
      <c r="B16" s="4" t="s">
        <v>409</v>
      </c>
      <c r="C16" s="4" t="s">
        <v>368</v>
      </c>
      <c r="D16" s="4" t="s">
        <v>410</v>
      </c>
      <c r="E16" s="4" t="s">
        <v>411</v>
      </c>
      <c r="F16" s="4" t="s">
        <v>412</v>
      </c>
      <c r="G16" s="4" t="s">
        <v>413</v>
      </c>
      <c r="H16" s="4" t="s">
        <v>414</v>
      </c>
      <c r="I16" s="4" t="s">
        <v>415</v>
      </c>
    </row>
    <row r="17" spans="1:9">
      <c r="A17" t="s">
        <v>403</v>
      </c>
      <c r="B17">
        <v>137.14798406894184</v>
      </c>
      <c r="C17">
        <v>17.911792930183498</v>
      </c>
      <c r="D17">
        <v>7.6568540404367447</v>
      </c>
      <c r="E17">
        <v>2.0593035713508277E-13</v>
      </c>
      <c r="F17">
        <v>101.9142226296197</v>
      </c>
      <c r="G17">
        <v>172.38174550826398</v>
      </c>
      <c r="H17">
        <v>101.9142226296197</v>
      </c>
      <c r="I17">
        <v>172.38174550826398</v>
      </c>
    </row>
    <row r="18" spans="1:9" ht="13" thickBot="1">
      <c r="A18" s="3">
        <v>360</v>
      </c>
      <c r="B18" s="3">
        <v>-1.4022543334263043E-3</v>
      </c>
      <c r="C18" s="3">
        <v>5.1347082966679114E-2</v>
      </c>
      <c r="D18" s="3">
        <v>-2.7309328055427712E-2</v>
      </c>
      <c r="E18" s="3">
        <v>0.97822927786063141</v>
      </c>
      <c r="F18" s="3">
        <v>-0.10240559212907593</v>
      </c>
      <c r="G18" s="3">
        <v>9.9601083462223322E-2</v>
      </c>
      <c r="H18" s="3">
        <v>-0.10240559212907593</v>
      </c>
      <c r="I18" s="3">
        <v>9.9601083462223322E-2</v>
      </c>
    </row>
    <row r="22" spans="1:9">
      <c r="A22" t="s">
        <v>416</v>
      </c>
    </row>
    <row r="23" spans="1:9" ht="13" thickBot="1"/>
    <row r="24" spans="1:9" ht="13">
      <c r="A24" s="4" t="s">
        <v>417</v>
      </c>
      <c r="B24" s="4" t="s">
        <v>418</v>
      </c>
      <c r="C24" s="4" t="s">
        <v>419</v>
      </c>
    </row>
    <row r="25" spans="1:9">
      <c r="A25">
        <v>1</v>
      </c>
      <c r="B25">
        <v>136.64317250890838</v>
      </c>
      <c r="C25">
        <v>-10.643172508908378</v>
      </c>
    </row>
    <row r="26" spans="1:9">
      <c r="A26">
        <v>2</v>
      </c>
      <c r="B26">
        <v>136.64317250890838</v>
      </c>
      <c r="C26">
        <v>71.356827491091622</v>
      </c>
    </row>
    <row r="27" spans="1:9">
      <c r="A27">
        <v>3</v>
      </c>
      <c r="B27">
        <v>136.64317250890838</v>
      </c>
      <c r="C27">
        <v>-36.643172508908378</v>
      </c>
    </row>
    <row r="28" spans="1:9">
      <c r="A28">
        <v>4</v>
      </c>
      <c r="B28">
        <v>136.64317250890838</v>
      </c>
      <c r="C28">
        <v>-58.643172508908378</v>
      </c>
    </row>
    <row r="29" spans="1:9">
      <c r="A29">
        <v>5</v>
      </c>
      <c r="B29">
        <v>136.64317250890838</v>
      </c>
      <c r="C29">
        <v>15.356827491091622</v>
      </c>
    </row>
    <row r="30" spans="1:9">
      <c r="A30">
        <v>6</v>
      </c>
      <c r="B30">
        <v>136.64317250890838</v>
      </c>
      <c r="C30">
        <v>-77.643172508908378</v>
      </c>
    </row>
    <row r="31" spans="1:9">
      <c r="A31">
        <v>7</v>
      </c>
      <c r="B31">
        <v>136.64317250890838</v>
      </c>
      <c r="C31">
        <v>10.356827491091622</v>
      </c>
    </row>
    <row r="32" spans="1:9">
      <c r="A32">
        <v>8</v>
      </c>
      <c r="B32">
        <v>136.81144302891951</v>
      </c>
      <c r="C32">
        <v>143.18855697108049</v>
      </c>
    </row>
    <row r="33" spans="1:3">
      <c r="A33">
        <v>9</v>
      </c>
      <c r="B33">
        <v>136.64317250890838</v>
      </c>
      <c r="C33">
        <v>-13.643172508908378</v>
      </c>
    </row>
    <row r="34" spans="1:3">
      <c r="A34">
        <v>10</v>
      </c>
      <c r="B34">
        <v>136.64317250890838</v>
      </c>
      <c r="C34">
        <v>-46.643172508908378</v>
      </c>
    </row>
    <row r="35" spans="1:3">
      <c r="A35">
        <v>11</v>
      </c>
      <c r="B35">
        <v>136.64317250890838</v>
      </c>
      <c r="C35">
        <v>25.356827491091622</v>
      </c>
    </row>
    <row r="36" spans="1:3">
      <c r="A36">
        <v>12</v>
      </c>
      <c r="B36">
        <v>136.89557828892509</v>
      </c>
      <c r="C36">
        <v>-96.895578288925094</v>
      </c>
    </row>
    <row r="37" spans="1:3">
      <c r="A37">
        <v>13</v>
      </c>
      <c r="B37">
        <v>136.64317250890838</v>
      </c>
      <c r="C37">
        <v>29.356827491091622</v>
      </c>
    </row>
    <row r="38" spans="1:3">
      <c r="A38">
        <v>14</v>
      </c>
      <c r="B38">
        <v>136.64317250890838</v>
      </c>
      <c r="C38">
        <v>-12.643172508908378</v>
      </c>
    </row>
    <row r="39" spans="1:3">
      <c r="A39">
        <v>15</v>
      </c>
      <c r="B39">
        <v>136.64317250890838</v>
      </c>
      <c r="C39">
        <v>-5.6431725089083784</v>
      </c>
    </row>
    <row r="40" spans="1:3">
      <c r="A40">
        <v>16</v>
      </c>
      <c r="B40">
        <v>136.64317250890838</v>
      </c>
      <c r="C40">
        <v>63.356827491091622</v>
      </c>
    </row>
    <row r="41" spans="1:3">
      <c r="A41">
        <v>17</v>
      </c>
      <c r="B41">
        <v>136.64317250890838</v>
      </c>
      <c r="C41">
        <v>-10.643172508908378</v>
      </c>
    </row>
    <row r="42" spans="1:3">
      <c r="A42">
        <v>18</v>
      </c>
      <c r="B42">
        <v>136.64317250890838</v>
      </c>
      <c r="C42">
        <v>163.35682749109162</v>
      </c>
    </row>
    <row r="43" spans="1:3">
      <c r="A43">
        <v>19</v>
      </c>
      <c r="B43">
        <v>136.89557828892509</v>
      </c>
      <c r="C43">
        <v>-36.895578288925094</v>
      </c>
    </row>
    <row r="44" spans="1:3">
      <c r="A44">
        <v>20</v>
      </c>
      <c r="B44">
        <v>136.64317250890838</v>
      </c>
      <c r="C44">
        <v>-88.643172508908378</v>
      </c>
    </row>
    <row r="45" spans="1:3">
      <c r="A45">
        <v>21</v>
      </c>
      <c r="B45">
        <v>136.89557828892509</v>
      </c>
      <c r="C45">
        <v>-108.89557828892509</v>
      </c>
    </row>
    <row r="46" spans="1:3">
      <c r="A46">
        <v>22</v>
      </c>
      <c r="B46">
        <v>136.64317250890838</v>
      </c>
      <c r="C46">
        <v>-35.643172508908378</v>
      </c>
    </row>
    <row r="47" spans="1:3">
      <c r="A47">
        <v>23</v>
      </c>
      <c r="B47">
        <v>136.64317250890838</v>
      </c>
      <c r="C47">
        <v>-11.643172508908378</v>
      </c>
    </row>
    <row r="48" spans="1:3">
      <c r="A48">
        <v>24</v>
      </c>
      <c r="B48">
        <v>136.64317250890838</v>
      </c>
      <c r="C48">
        <v>153.35682749109162</v>
      </c>
    </row>
    <row r="49" spans="1:3">
      <c r="A49">
        <v>25</v>
      </c>
      <c r="B49">
        <v>136.64317250890838</v>
      </c>
      <c r="C49">
        <v>11.356827491091622</v>
      </c>
    </row>
    <row r="50" spans="1:3">
      <c r="A50">
        <v>26</v>
      </c>
      <c r="B50">
        <v>136.64317250890838</v>
      </c>
      <c r="C50">
        <v>3.3568274910916216</v>
      </c>
    </row>
    <row r="51" spans="1:3">
      <c r="A51">
        <v>27</v>
      </c>
      <c r="B51">
        <v>136.64317250890838</v>
      </c>
      <c r="C51">
        <v>138.35682749109162</v>
      </c>
    </row>
    <row r="52" spans="1:3">
      <c r="A52">
        <v>28</v>
      </c>
      <c r="B52">
        <v>136.64317250890838</v>
      </c>
      <c r="C52">
        <v>-79.643172508908378</v>
      </c>
    </row>
    <row r="53" spans="1:3">
      <c r="A53">
        <v>29</v>
      </c>
      <c r="B53">
        <v>136.89557828892509</v>
      </c>
      <c r="C53">
        <v>-11.895578288925094</v>
      </c>
    </row>
    <row r="54" spans="1:3">
      <c r="A54">
        <v>30</v>
      </c>
      <c r="B54">
        <v>136.64317250890838</v>
      </c>
      <c r="C54">
        <v>-61.643172508908378</v>
      </c>
    </row>
    <row r="55" spans="1:3">
      <c r="A55">
        <v>31</v>
      </c>
      <c r="B55">
        <v>136.64317250890838</v>
      </c>
      <c r="C55">
        <v>55.356827491091622</v>
      </c>
    </row>
    <row r="56" spans="1:3">
      <c r="A56">
        <v>32</v>
      </c>
      <c r="B56">
        <v>136.64317250890838</v>
      </c>
      <c r="C56">
        <v>15.356827491091622</v>
      </c>
    </row>
    <row r="57" spans="1:3">
      <c r="A57">
        <v>33</v>
      </c>
      <c r="B57">
        <v>136.64317250890838</v>
      </c>
      <c r="C57">
        <v>21.356827491091622</v>
      </c>
    </row>
    <row r="58" spans="1:3">
      <c r="A58">
        <v>34</v>
      </c>
      <c r="B58">
        <v>136.64317250890838</v>
      </c>
      <c r="C58">
        <v>-35.643172508908378</v>
      </c>
    </row>
    <row r="59" spans="1:3">
      <c r="A59">
        <v>35</v>
      </c>
      <c r="B59">
        <v>136.64317250890838</v>
      </c>
      <c r="C59">
        <v>39.356827491091622</v>
      </c>
    </row>
    <row r="60" spans="1:3">
      <c r="A60">
        <v>36</v>
      </c>
      <c r="B60">
        <v>136.89557828892509</v>
      </c>
      <c r="C60">
        <v>48.104421711074906</v>
      </c>
    </row>
    <row r="61" spans="1:3">
      <c r="A61">
        <v>37</v>
      </c>
      <c r="B61">
        <v>136.64317250890838</v>
      </c>
      <c r="C61">
        <v>-46.643172508908378</v>
      </c>
    </row>
    <row r="62" spans="1:3">
      <c r="A62">
        <v>38</v>
      </c>
      <c r="B62">
        <v>136.64317250890838</v>
      </c>
      <c r="C62">
        <v>-20.643172508908378</v>
      </c>
    </row>
    <row r="63" spans="1:3">
      <c r="A63">
        <v>39</v>
      </c>
      <c r="B63">
        <v>136.64317250890838</v>
      </c>
      <c r="C63">
        <v>1.3568274910916216</v>
      </c>
    </row>
    <row r="64" spans="1:3">
      <c r="A64">
        <v>40</v>
      </c>
      <c r="B64">
        <v>136.64317250890838</v>
      </c>
      <c r="C64">
        <v>-36.643172508908378</v>
      </c>
    </row>
    <row r="65" spans="1:3">
      <c r="A65">
        <v>41</v>
      </c>
      <c r="B65">
        <v>136.64317250890838</v>
      </c>
      <c r="C65">
        <v>-26.643172508908378</v>
      </c>
    </row>
    <row r="66" spans="1:3">
      <c r="A66">
        <v>42</v>
      </c>
      <c r="B66">
        <v>136.64317250890838</v>
      </c>
      <c r="C66">
        <v>-46.643172508908378</v>
      </c>
    </row>
    <row r="67" spans="1:3">
      <c r="A67">
        <v>43</v>
      </c>
      <c r="B67">
        <v>136.64317250890838</v>
      </c>
      <c r="C67">
        <v>63.356827491091622</v>
      </c>
    </row>
    <row r="68" spans="1:3">
      <c r="A68">
        <v>44</v>
      </c>
      <c r="B68">
        <v>136.64317250890838</v>
      </c>
      <c r="C68">
        <v>-52.643172508908378</v>
      </c>
    </row>
    <row r="69" spans="1:3">
      <c r="A69">
        <v>45</v>
      </c>
      <c r="B69">
        <v>136.64317250890838</v>
      </c>
      <c r="C69">
        <v>48.356827491091622</v>
      </c>
    </row>
    <row r="70" spans="1:3">
      <c r="A70">
        <v>46</v>
      </c>
      <c r="B70">
        <v>136.64317250890838</v>
      </c>
      <c r="C70">
        <v>25.356827491091622</v>
      </c>
    </row>
    <row r="71" spans="1:3">
      <c r="A71">
        <v>47</v>
      </c>
      <c r="B71">
        <v>136.64317250890838</v>
      </c>
      <c r="C71">
        <v>-28.643172508908378</v>
      </c>
    </row>
    <row r="72" spans="1:3">
      <c r="A72">
        <v>48</v>
      </c>
      <c r="B72">
        <v>136.64317250890838</v>
      </c>
      <c r="C72">
        <v>50.356827491091622</v>
      </c>
    </row>
    <row r="73" spans="1:3">
      <c r="A73">
        <v>49</v>
      </c>
      <c r="B73">
        <v>136.64317250890838</v>
      </c>
      <c r="C73">
        <v>50.356827491091622</v>
      </c>
    </row>
    <row r="74" spans="1:3">
      <c r="A74">
        <v>50</v>
      </c>
      <c r="B74">
        <v>136.64317250890838</v>
      </c>
      <c r="C74">
        <v>-12.643172508908378</v>
      </c>
    </row>
    <row r="75" spans="1:3">
      <c r="A75">
        <v>51</v>
      </c>
      <c r="B75">
        <v>136.89557828892509</v>
      </c>
      <c r="C75">
        <v>-16.895578288925094</v>
      </c>
    </row>
    <row r="76" spans="1:3">
      <c r="A76">
        <v>52</v>
      </c>
      <c r="B76">
        <v>136.64317250890838</v>
      </c>
      <c r="C76">
        <v>23.356827491091622</v>
      </c>
    </row>
    <row r="77" spans="1:3">
      <c r="A77">
        <v>53</v>
      </c>
      <c r="B77">
        <v>136.64317250890838</v>
      </c>
      <c r="C77">
        <v>-106.64317250890838</v>
      </c>
    </row>
    <row r="78" spans="1:3">
      <c r="A78">
        <v>54</v>
      </c>
      <c r="B78">
        <v>136.64317250890838</v>
      </c>
      <c r="C78">
        <v>-44.643172508908378</v>
      </c>
    </row>
    <row r="79" spans="1:3">
      <c r="A79">
        <v>55</v>
      </c>
      <c r="B79">
        <v>136.89557828892509</v>
      </c>
      <c r="C79">
        <v>-6.8955782889250941</v>
      </c>
    </row>
    <row r="80" spans="1:3">
      <c r="A80">
        <v>56</v>
      </c>
      <c r="B80">
        <v>136.64317250890838</v>
      </c>
      <c r="C80">
        <v>-6.6431725089083784</v>
      </c>
    </row>
    <row r="81" spans="1:3">
      <c r="A81">
        <v>57</v>
      </c>
      <c r="B81">
        <v>136.89557828892509</v>
      </c>
      <c r="C81">
        <v>-2.8955782889250941</v>
      </c>
    </row>
    <row r="82" spans="1:3">
      <c r="A82">
        <v>58</v>
      </c>
      <c r="B82">
        <v>136.64317250890838</v>
      </c>
      <c r="C82">
        <v>39.356827491091622</v>
      </c>
    </row>
    <row r="83" spans="1:3">
      <c r="A83">
        <v>59</v>
      </c>
      <c r="B83">
        <v>136.64317250890838</v>
      </c>
      <c r="C83">
        <v>-46.643172508908378</v>
      </c>
    </row>
    <row r="84" spans="1:3">
      <c r="A84">
        <v>60</v>
      </c>
      <c r="B84">
        <v>136.64317250890838</v>
      </c>
      <c r="C84">
        <v>-26.643172508908378</v>
      </c>
    </row>
    <row r="85" spans="1:3">
      <c r="A85">
        <v>61</v>
      </c>
      <c r="B85">
        <v>136.64317250890838</v>
      </c>
      <c r="C85">
        <v>-11.643172508908378</v>
      </c>
    </row>
    <row r="86" spans="1:3">
      <c r="A86">
        <v>62</v>
      </c>
      <c r="B86">
        <v>136.64317250890838</v>
      </c>
      <c r="C86">
        <v>52.356827491091622</v>
      </c>
    </row>
    <row r="87" spans="1:3">
      <c r="A87">
        <v>63</v>
      </c>
      <c r="B87">
        <v>136.64317250890838</v>
      </c>
      <c r="C87">
        <v>-28.643172508908378</v>
      </c>
    </row>
    <row r="88" spans="1:3">
      <c r="A88">
        <v>64</v>
      </c>
      <c r="B88">
        <v>136.64317250890838</v>
      </c>
      <c r="C88">
        <v>-11.643172508908378</v>
      </c>
    </row>
    <row r="89" spans="1:3">
      <c r="A89">
        <v>65</v>
      </c>
      <c r="B89">
        <v>136.64317250890838</v>
      </c>
      <c r="C89">
        <v>1.3568274910916216</v>
      </c>
    </row>
    <row r="90" spans="1:3">
      <c r="A90">
        <v>66</v>
      </c>
      <c r="B90">
        <v>136.64317250890838</v>
      </c>
      <c r="C90">
        <v>-1.6431725089083784</v>
      </c>
    </row>
    <row r="91" spans="1:3">
      <c r="A91">
        <v>67</v>
      </c>
      <c r="B91">
        <v>136.64317250890838</v>
      </c>
      <c r="C91">
        <v>-6.6431725089083784</v>
      </c>
    </row>
    <row r="92" spans="1:3">
      <c r="A92">
        <v>68</v>
      </c>
      <c r="B92">
        <v>136.64317250890838</v>
      </c>
      <c r="C92">
        <v>50.356827491091622</v>
      </c>
    </row>
    <row r="93" spans="1:3">
      <c r="A93">
        <v>69</v>
      </c>
      <c r="B93">
        <v>136.64317250890838</v>
      </c>
      <c r="C93">
        <v>51.356827491091622</v>
      </c>
    </row>
    <row r="94" spans="1:3">
      <c r="A94">
        <v>70</v>
      </c>
      <c r="B94">
        <v>137.06384880893626</v>
      </c>
      <c r="C94">
        <v>-42.063848808936257</v>
      </c>
    </row>
    <row r="95" spans="1:3">
      <c r="A95">
        <v>71</v>
      </c>
      <c r="B95">
        <v>136.64317250890838</v>
      </c>
      <c r="C95">
        <v>-71.643172508908378</v>
      </c>
    </row>
    <row r="96" spans="1:3">
      <c r="A96">
        <v>72</v>
      </c>
      <c r="B96">
        <v>136.64317250890838</v>
      </c>
      <c r="C96">
        <v>2.3568274910916216</v>
      </c>
    </row>
    <row r="97" spans="1:3">
      <c r="A97">
        <v>73</v>
      </c>
      <c r="B97">
        <v>136.64317250890838</v>
      </c>
      <c r="C97">
        <v>95.356827491091622</v>
      </c>
    </row>
    <row r="98" spans="1:3">
      <c r="A98">
        <v>74</v>
      </c>
      <c r="B98">
        <v>136.64317250890838</v>
      </c>
      <c r="C98">
        <v>7.3568274910916216</v>
      </c>
    </row>
    <row r="99" spans="1:3">
      <c r="A99">
        <v>75</v>
      </c>
      <c r="B99">
        <v>136.64317250890838</v>
      </c>
      <c r="C99">
        <v>18.356827491091622</v>
      </c>
    </row>
    <row r="100" spans="1:3">
      <c r="A100">
        <v>76</v>
      </c>
      <c r="B100">
        <v>136.64317250890838</v>
      </c>
      <c r="C100">
        <v>49.356827491091622</v>
      </c>
    </row>
    <row r="101" spans="1:3">
      <c r="A101">
        <v>77</v>
      </c>
      <c r="B101">
        <v>136.64317250890838</v>
      </c>
      <c r="C101">
        <v>-86.643172508908378</v>
      </c>
    </row>
    <row r="102" spans="1:3">
      <c r="A102">
        <v>78</v>
      </c>
      <c r="B102">
        <v>136.64317250890838</v>
      </c>
      <c r="C102">
        <v>48.356827491091622</v>
      </c>
    </row>
    <row r="103" spans="1:3">
      <c r="A103">
        <v>79</v>
      </c>
      <c r="B103">
        <v>136.64317250890838</v>
      </c>
      <c r="C103">
        <v>26.356827491091622</v>
      </c>
    </row>
    <row r="104" spans="1:3">
      <c r="A104">
        <v>80</v>
      </c>
      <c r="B104">
        <v>136.47490198889722</v>
      </c>
      <c r="C104">
        <v>223.52509801110278</v>
      </c>
    </row>
    <row r="105" spans="1:3">
      <c r="A105">
        <v>81</v>
      </c>
      <c r="B105">
        <v>136.64317250890838</v>
      </c>
      <c r="C105">
        <v>12.356827491091622</v>
      </c>
    </row>
    <row r="106" spans="1:3">
      <c r="A106">
        <v>82</v>
      </c>
      <c r="B106">
        <v>136.89557828892509</v>
      </c>
      <c r="C106">
        <v>120.10442171107491</v>
      </c>
    </row>
    <row r="107" spans="1:3">
      <c r="A107">
        <v>83</v>
      </c>
      <c r="B107">
        <v>136.89557828892509</v>
      </c>
      <c r="C107">
        <v>-5.8955782889250941</v>
      </c>
    </row>
    <row r="108" spans="1:3">
      <c r="A108">
        <v>84</v>
      </c>
      <c r="B108">
        <v>136.64317250890838</v>
      </c>
      <c r="C108">
        <v>-34.643172508908378</v>
      </c>
    </row>
    <row r="109" spans="1:3">
      <c r="A109">
        <v>85</v>
      </c>
      <c r="B109">
        <v>136.64317250890838</v>
      </c>
      <c r="C109">
        <v>-1.6431725089083784</v>
      </c>
    </row>
    <row r="110" spans="1:3">
      <c r="A110">
        <v>86</v>
      </c>
      <c r="B110">
        <v>136.64317250890838</v>
      </c>
      <c r="C110">
        <v>-41.643172508908378</v>
      </c>
    </row>
    <row r="111" spans="1:3">
      <c r="A111">
        <v>87</v>
      </c>
      <c r="B111">
        <v>136.64317250890838</v>
      </c>
      <c r="C111">
        <v>-59.643172508908378</v>
      </c>
    </row>
    <row r="112" spans="1:3">
      <c r="A112">
        <v>88</v>
      </c>
      <c r="B112">
        <v>136.64317250890838</v>
      </c>
      <c r="C112">
        <v>63.356827491091622</v>
      </c>
    </row>
    <row r="113" spans="1:3">
      <c r="A113">
        <v>89</v>
      </c>
      <c r="B113">
        <v>136.64317250890838</v>
      </c>
      <c r="C113">
        <v>-6.6431725089083784</v>
      </c>
    </row>
    <row r="114" spans="1:3">
      <c r="A114">
        <v>90</v>
      </c>
      <c r="B114">
        <v>136.64317250890838</v>
      </c>
      <c r="C114">
        <v>253.35682749109162</v>
      </c>
    </row>
    <row r="115" spans="1:3">
      <c r="A115">
        <v>91</v>
      </c>
      <c r="B115">
        <v>136.64317250890838</v>
      </c>
      <c r="C115">
        <v>48.356827491091622</v>
      </c>
    </row>
    <row r="116" spans="1:3">
      <c r="A116">
        <v>92</v>
      </c>
      <c r="B116">
        <v>136.64317250890838</v>
      </c>
      <c r="C116">
        <v>-36.643172508908378</v>
      </c>
    </row>
    <row r="117" spans="1:3">
      <c r="A117">
        <v>93</v>
      </c>
      <c r="B117">
        <v>136.64317250890838</v>
      </c>
      <c r="C117">
        <v>-13.643172508908378</v>
      </c>
    </row>
    <row r="118" spans="1:3">
      <c r="A118">
        <v>94</v>
      </c>
      <c r="B118">
        <v>136.64317250890838</v>
      </c>
      <c r="C118">
        <v>-26.643172508908378</v>
      </c>
    </row>
    <row r="119" spans="1:3">
      <c r="A119">
        <v>95</v>
      </c>
      <c r="B119">
        <v>136.64317250890838</v>
      </c>
      <c r="C119">
        <v>119.35682749109162</v>
      </c>
    </row>
    <row r="120" spans="1:3">
      <c r="A120">
        <v>96</v>
      </c>
      <c r="B120">
        <v>136.64317250890838</v>
      </c>
      <c r="C120">
        <v>3.3568274910916216</v>
      </c>
    </row>
    <row r="121" spans="1:3">
      <c r="A121">
        <v>97</v>
      </c>
      <c r="B121">
        <v>136.64317250890838</v>
      </c>
      <c r="C121">
        <v>-75.643172508908378</v>
      </c>
    </row>
    <row r="122" spans="1:3">
      <c r="A122">
        <v>98</v>
      </c>
      <c r="B122">
        <v>136.64317250890838</v>
      </c>
      <c r="C122">
        <v>51.356827491091622</v>
      </c>
    </row>
    <row r="123" spans="1:3">
      <c r="A123">
        <v>99</v>
      </c>
      <c r="B123">
        <v>136.47490198889722</v>
      </c>
      <c r="C123">
        <v>-5.4749019888972157</v>
      </c>
    </row>
    <row r="124" spans="1:3">
      <c r="A124">
        <v>100</v>
      </c>
      <c r="B124">
        <v>136.64317250890838</v>
      </c>
      <c r="C124">
        <v>-20.643172508908378</v>
      </c>
    </row>
    <row r="125" spans="1:3">
      <c r="A125">
        <v>101</v>
      </c>
      <c r="B125">
        <v>136.89557828892509</v>
      </c>
      <c r="C125">
        <v>-86.895578288925094</v>
      </c>
    </row>
    <row r="126" spans="1:3">
      <c r="A126">
        <v>102</v>
      </c>
      <c r="B126">
        <v>136.64317250890838</v>
      </c>
      <c r="C126">
        <v>-29.643172508908378</v>
      </c>
    </row>
    <row r="127" spans="1:3">
      <c r="A127">
        <v>103</v>
      </c>
      <c r="B127">
        <v>136.64317250890838</v>
      </c>
      <c r="C127">
        <v>63.356827491091622</v>
      </c>
    </row>
    <row r="128" spans="1:3">
      <c r="A128">
        <v>104</v>
      </c>
      <c r="B128">
        <v>136.64317250890838</v>
      </c>
      <c r="C128">
        <v>-17.643172508908378</v>
      </c>
    </row>
    <row r="129" spans="1:3">
      <c r="A129">
        <v>105</v>
      </c>
      <c r="B129">
        <v>136.64317250890838</v>
      </c>
      <c r="C129">
        <v>-16.643172508908378</v>
      </c>
    </row>
    <row r="130" spans="1:3">
      <c r="A130">
        <v>106</v>
      </c>
      <c r="B130">
        <v>136.64317250890838</v>
      </c>
      <c r="C130">
        <v>3.3568274910916216</v>
      </c>
    </row>
    <row r="131" spans="1:3">
      <c r="A131">
        <v>107</v>
      </c>
      <c r="B131">
        <v>136.64317250890838</v>
      </c>
      <c r="C131">
        <v>28.356827491091622</v>
      </c>
    </row>
    <row r="132" spans="1:3">
      <c r="A132">
        <v>108</v>
      </c>
      <c r="B132">
        <v>136.64317250890838</v>
      </c>
      <c r="C132">
        <v>-28.643172508908378</v>
      </c>
    </row>
    <row r="133" spans="1:3">
      <c r="A133">
        <v>109</v>
      </c>
      <c r="B133">
        <v>136.64317250890838</v>
      </c>
      <c r="C133">
        <v>-43.643172508908378</v>
      </c>
    </row>
    <row r="134" spans="1:3">
      <c r="A134">
        <v>110</v>
      </c>
      <c r="B134">
        <v>136.64317250890838</v>
      </c>
      <c r="C134">
        <v>-34.643172508908378</v>
      </c>
    </row>
    <row r="135" spans="1:3">
      <c r="A135">
        <v>111</v>
      </c>
      <c r="B135">
        <v>136.64317250890838</v>
      </c>
      <c r="C135">
        <v>-14.643172508908378</v>
      </c>
    </row>
    <row r="136" spans="1:3">
      <c r="A136">
        <v>112</v>
      </c>
      <c r="B136">
        <v>136.64317250890838</v>
      </c>
      <c r="C136">
        <v>23.356827491091622</v>
      </c>
    </row>
    <row r="137" spans="1:3">
      <c r="A137">
        <v>113</v>
      </c>
      <c r="B137">
        <v>136.64317250890838</v>
      </c>
      <c r="C137">
        <v>20.356827491091622</v>
      </c>
    </row>
    <row r="138" spans="1:3">
      <c r="A138">
        <v>114</v>
      </c>
      <c r="B138">
        <v>136.64317250890838</v>
      </c>
      <c r="C138">
        <v>43.356827491091622</v>
      </c>
    </row>
    <row r="139" spans="1:3">
      <c r="A139">
        <v>115</v>
      </c>
      <c r="B139">
        <v>136.64317250890838</v>
      </c>
      <c r="C139">
        <v>-56.643172508908378</v>
      </c>
    </row>
    <row r="140" spans="1:3">
      <c r="A140">
        <v>116</v>
      </c>
      <c r="B140">
        <v>136.64317250890838</v>
      </c>
      <c r="C140">
        <v>-32.643172508908378</v>
      </c>
    </row>
    <row r="141" spans="1:3">
      <c r="A141">
        <v>117</v>
      </c>
      <c r="B141">
        <v>136.64317250890838</v>
      </c>
      <c r="C141">
        <v>76.356827491091622</v>
      </c>
    </row>
    <row r="142" spans="1:3">
      <c r="A142">
        <v>118</v>
      </c>
      <c r="B142">
        <v>136.64317250890838</v>
      </c>
      <c r="C142">
        <v>-71.643172508908378</v>
      </c>
    </row>
    <row r="143" spans="1:3">
      <c r="A143">
        <v>119</v>
      </c>
      <c r="B143">
        <v>136.64317250890838</v>
      </c>
      <c r="C143">
        <v>9.3568274910916216</v>
      </c>
    </row>
    <row r="144" spans="1:3">
      <c r="A144">
        <v>120</v>
      </c>
      <c r="B144">
        <v>136.64317250890838</v>
      </c>
      <c r="C144">
        <v>-1.6431725089083784</v>
      </c>
    </row>
    <row r="145" spans="1:3">
      <c r="A145">
        <v>121</v>
      </c>
      <c r="B145">
        <v>136.64317250890838</v>
      </c>
      <c r="C145">
        <v>50.356827491091622</v>
      </c>
    </row>
    <row r="146" spans="1:3">
      <c r="A146">
        <v>122</v>
      </c>
      <c r="B146">
        <v>136.64317250890838</v>
      </c>
      <c r="C146">
        <v>163.35682749109162</v>
      </c>
    </row>
    <row r="147" spans="1:3">
      <c r="A147">
        <v>123</v>
      </c>
      <c r="B147">
        <v>136.64317250890838</v>
      </c>
      <c r="C147">
        <v>-16.643172508908378</v>
      </c>
    </row>
    <row r="148" spans="1:3">
      <c r="A148">
        <v>124</v>
      </c>
      <c r="B148">
        <v>136.64317250890838</v>
      </c>
      <c r="C148">
        <v>-65.643172508908378</v>
      </c>
    </row>
    <row r="149" spans="1:3">
      <c r="A149">
        <v>125</v>
      </c>
      <c r="B149">
        <v>136.89557828892509</v>
      </c>
      <c r="C149">
        <v>88.104421711074906</v>
      </c>
    </row>
    <row r="150" spans="1:3">
      <c r="A150">
        <v>126</v>
      </c>
      <c r="B150">
        <v>136.64317250890838</v>
      </c>
      <c r="C150">
        <v>-66.643172508908378</v>
      </c>
    </row>
    <row r="151" spans="1:3">
      <c r="A151">
        <v>127</v>
      </c>
      <c r="B151">
        <v>136.64317250890838</v>
      </c>
      <c r="C151">
        <v>-66.643172508908378</v>
      </c>
    </row>
    <row r="152" spans="1:3">
      <c r="A152">
        <v>128</v>
      </c>
      <c r="B152">
        <v>136.64317250890838</v>
      </c>
      <c r="C152">
        <v>-12.643172508908378</v>
      </c>
    </row>
    <row r="153" spans="1:3">
      <c r="A153">
        <v>129</v>
      </c>
      <c r="B153">
        <v>136.64317250890838</v>
      </c>
      <c r="C153">
        <v>-4.6431725089083784</v>
      </c>
    </row>
    <row r="154" spans="1:3">
      <c r="A154">
        <v>130</v>
      </c>
      <c r="B154">
        <v>137.03019470493402</v>
      </c>
      <c r="C154">
        <v>-32.030194704934019</v>
      </c>
    </row>
    <row r="155" spans="1:3">
      <c r="A155">
        <v>131</v>
      </c>
      <c r="B155">
        <v>136.64317250890838</v>
      </c>
      <c r="C155">
        <v>-46.643172508908378</v>
      </c>
    </row>
    <row r="156" spans="1:3">
      <c r="A156">
        <v>132</v>
      </c>
      <c r="B156">
        <v>136.64317250890838</v>
      </c>
      <c r="C156">
        <v>-53.643172508908378</v>
      </c>
    </row>
    <row r="157" spans="1:3">
      <c r="A157">
        <v>133</v>
      </c>
      <c r="B157">
        <v>136.64317250890838</v>
      </c>
      <c r="C157">
        <v>-11.643172508908378</v>
      </c>
    </row>
    <row r="158" spans="1:3">
      <c r="A158">
        <v>134</v>
      </c>
      <c r="B158">
        <v>136.64317250890838</v>
      </c>
      <c r="C158">
        <v>10.356827491091622</v>
      </c>
    </row>
    <row r="159" spans="1:3">
      <c r="A159">
        <v>135</v>
      </c>
      <c r="B159">
        <v>136.64317250890838</v>
      </c>
      <c r="C159">
        <v>-16.643172508908378</v>
      </c>
    </row>
    <row r="160" spans="1:3">
      <c r="A160">
        <v>136</v>
      </c>
      <c r="B160">
        <v>136.64317250890838</v>
      </c>
      <c r="C160">
        <v>-26.643172508908378</v>
      </c>
    </row>
    <row r="161" spans="1:3">
      <c r="A161">
        <v>137</v>
      </c>
      <c r="B161">
        <v>136.81144302891951</v>
      </c>
      <c r="C161">
        <v>-33.811443028919513</v>
      </c>
    </row>
    <row r="162" spans="1:3">
      <c r="A162">
        <v>138</v>
      </c>
      <c r="B162">
        <v>136.64317250890838</v>
      </c>
      <c r="C162">
        <v>13.356827491091622</v>
      </c>
    </row>
    <row r="163" spans="1:3">
      <c r="A163">
        <v>139</v>
      </c>
      <c r="B163">
        <v>136.64317250890838</v>
      </c>
      <c r="C163">
        <v>-36.643172508908378</v>
      </c>
    </row>
    <row r="164" spans="1:3">
      <c r="A164">
        <v>140</v>
      </c>
      <c r="B164">
        <v>137.13115701694073</v>
      </c>
      <c r="C164">
        <v>1.8688429830592668</v>
      </c>
    </row>
    <row r="165" spans="1:3">
      <c r="A165">
        <v>141</v>
      </c>
      <c r="B165">
        <v>136.72730776891396</v>
      </c>
      <c r="C165">
        <v>413.27269223108601</v>
      </c>
    </row>
    <row r="166" spans="1:3">
      <c r="A166">
        <v>142</v>
      </c>
      <c r="B166">
        <v>136.64317250890838</v>
      </c>
      <c r="C166">
        <v>123.35682749109162</v>
      </c>
    </row>
    <row r="167" spans="1:3">
      <c r="A167">
        <v>143</v>
      </c>
      <c r="B167">
        <v>136.64317250890838</v>
      </c>
      <c r="C167">
        <v>13.356827491091622</v>
      </c>
    </row>
    <row r="168" spans="1:3">
      <c r="A168">
        <v>144</v>
      </c>
      <c r="B168">
        <v>136.64317250890838</v>
      </c>
      <c r="C168">
        <v>-46.643172508908378</v>
      </c>
    </row>
    <row r="169" spans="1:3">
      <c r="A169">
        <v>145</v>
      </c>
      <c r="B169">
        <v>136.64317250890838</v>
      </c>
      <c r="C169">
        <v>62.356827491091622</v>
      </c>
    </row>
    <row r="170" spans="1:3">
      <c r="A170">
        <v>146</v>
      </c>
      <c r="B170">
        <v>136.64317250890838</v>
      </c>
      <c r="C170">
        <v>2.3568274910916216</v>
      </c>
    </row>
    <row r="171" spans="1:3">
      <c r="A171">
        <v>147</v>
      </c>
      <c r="B171">
        <v>136.64317250890838</v>
      </c>
      <c r="C171">
        <v>13.356827491091622</v>
      </c>
    </row>
    <row r="172" spans="1:3">
      <c r="A172">
        <v>148</v>
      </c>
      <c r="B172">
        <v>136.64317250890838</v>
      </c>
      <c r="C172">
        <v>43.356827491091622</v>
      </c>
    </row>
    <row r="173" spans="1:3">
      <c r="A173">
        <v>149</v>
      </c>
      <c r="B173">
        <v>136.64317250890838</v>
      </c>
      <c r="C173">
        <v>-23.643172508908378</v>
      </c>
    </row>
    <row r="174" spans="1:3">
      <c r="A174">
        <v>150</v>
      </c>
      <c r="B174">
        <v>136.64317250890838</v>
      </c>
      <c r="C174">
        <v>11.356827491091622</v>
      </c>
    </row>
    <row r="175" spans="1:3">
      <c r="A175">
        <v>151</v>
      </c>
      <c r="B175">
        <v>136.72730776891396</v>
      </c>
      <c r="C175">
        <v>-19.72730776891396</v>
      </c>
    </row>
    <row r="176" spans="1:3">
      <c r="A176">
        <v>152</v>
      </c>
      <c r="B176">
        <v>136.64317250890838</v>
      </c>
      <c r="C176">
        <v>-64.643172508908378</v>
      </c>
    </row>
    <row r="177" spans="1:3">
      <c r="A177">
        <v>153</v>
      </c>
      <c r="B177">
        <v>136.65719505224263</v>
      </c>
      <c r="C177">
        <v>-11.657195052242628</v>
      </c>
    </row>
    <row r="178" spans="1:3">
      <c r="A178">
        <v>154</v>
      </c>
      <c r="B178">
        <v>136.64317250890838</v>
      </c>
      <c r="C178">
        <v>77.356827491091622</v>
      </c>
    </row>
    <row r="179" spans="1:3">
      <c r="A179">
        <v>155</v>
      </c>
      <c r="B179">
        <v>136.64317250890838</v>
      </c>
      <c r="C179">
        <v>-3.6431725089083784</v>
      </c>
    </row>
    <row r="180" spans="1:3">
      <c r="A180">
        <v>156</v>
      </c>
      <c r="B180">
        <v>136.64317250890838</v>
      </c>
      <c r="C180">
        <v>50.356827491091622</v>
      </c>
    </row>
    <row r="181" spans="1:3">
      <c r="A181">
        <v>157</v>
      </c>
      <c r="B181">
        <v>136.64317250890838</v>
      </c>
      <c r="C181">
        <v>6.3568274910916216</v>
      </c>
    </row>
    <row r="182" spans="1:3">
      <c r="A182">
        <v>158</v>
      </c>
      <c r="B182">
        <v>136.64317250890838</v>
      </c>
      <c r="C182">
        <v>72.356827491091622</v>
      </c>
    </row>
    <row r="183" spans="1:3">
      <c r="A183">
        <v>159</v>
      </c>
      <c r="B183">
        <v>136.64317250890838</v>
      </c>
      <c r="C183">
        <v>-52.643172508908378</v>
      </c>
    </row>
    <row r="184" spans="1:3">
      <c r="A184">
        <v>160</v>
      </c>
      <c r="B184">
        <v>136.81144302891951</v>
      </c>
      <c r="C184">
        <v>-20.811443028919513</v>
      </c>
    </row>
    <row r="185" spans="1:3">
      <c r="A185">
        <v>161</v>
      </c>
      <c r="B185">
        <v>136.64317250890838</v>
      </c>
      <c r="C185">
        <v>-71.643172508908378</v>
      </c>
    </row>
    <row r="186" spans="1:3">
      <c r="A186">
        <v>162</v>
      </c>
      <c r="B186">
        <v>136.64317250890838</v>
      </c>
      <c r="C186">
        <v>-56.643172508908378</v>
      </c>
    </row>
    <row r="187" spans="1:3">
      <c r="A187">
        <v>163</v>
      </c>
      <c r="B187">
        <v>136.64317250890838</v>
      </c>
      <c r="C187">
        <v>33.356827491091622</v>
      </c>
    </row>
    <row r="188" spans="1:3">
      <c r="A188">
        <v>164</v>
      </c>
      <c r="B188">
        <v>136.64317250890838</v>
      </c>
      <c r="C188">
        <v>-16.643172508908378</v>
      </c>
    </row>
    <row r="189" spans="1:3">
      <c r="A189">
        <v>165</v>
      </c>
      <c r="B189">
        <v>136.64317250890838</v>
      </c>
      <c r="C189">
        <v>-1.6431725089083784</v>
      </c>
    </row>
    <row r="190" spans="1:3">
      <c r="A190">
        <v>166</v>
      </c>
      <c r="B190">
        <v>136.64317250890838</v>
      </c>
      <c r="C190">
        <v>-42.643172508908378</v>
      </c>
    </row>
    <row r="191" spans="1:3">
      <c r="A191">
        <v>167</v>
      </c>
      <c r="B191">
        <v>136.64317250890838</v>
      </c>
      <c r="C191">
        <v>-57.643172508908378</v>
      </c>
    </row>
    <row r="192" spans="1:3">
      <c r="A192">
        <v>168</v>
      </c>
      <c r="B192">
        <v>136.64317250890838</v>
      </c>
      <c r="C192">
        <v>-26.643172508908378</v>
      </c>
    </row>
    <row r="193" spans="1:3">
      <c r="A193">
        <v>169</v>
      </c>
      <c r="B193">
        <v>136.89557828892509</v>
      </c>
      <c r="C193">
        <v>-6.8955782889250941</v>
      </c>
    </row>
    <row r="194" spans="1:3">
      <c r="A194">
        <v>170</v>
      </c>
      <c r="B194">
        <v>136.64317250890838</v>
      </c>
      <c r="C194">
        <v>6.3568274910916216</v>
      </c>
    </row>
    <row r="195" spans="1:3">
      <c r="A195">
        <v>171</v>
      </c>
      <c r="B195">
        <v>136.64317250890838</v>
      </c>
      <c r="C195">
        <v>22.356827491091622</v>
      </c>
    </row>
    <row r="196" spans="1:3">
      <c r="A196">
        <v>172</v>
      </c>
      <c r="B196">
        <v>136.64317250890838</v>
      </c>
      <c r="C196">
        <v>-26.643172508908378</v>
      </c>
    </row>
    <row r="197" spans="1:3">
      <c r="A197">
        <v>173</v>
      </c>
      <c r="B197">
        <v>136.64317250890838</v>
      </c>
      <c r="C197">
        <v>23.356827491091622</v>
      </c>
    </row>
    <row r="198" spans="1:3">
      <c r="A198">
        <v>174</v>
      </c>
      <c r="B198">
        <v>136.64317250890838</v>
      </c>
      <c r="C198">
        <v>-5.6431725089083784</v>
      </c>
    </row>
    <row r="199" spans="1:3">
      <c r="A199">
        <v>175</v>
      </c>
      <c r="B199">
        <v>136.64317250890838</v>
      </c>
      <c r="C199">
        <v>-71.643172508908378</v>
      </c>
    </row>
    <row r="200" spans="1:3">
      <c r="A200">
        <v>176</v>
      </c>
      <c r="B200">
        <v>136.64317250890838</v>
      </c>
      <c r="C200">
        <v>6.3568274910916216</v>
      </c>
    </row>
    <row r="201" spans="1:3">
      <c r="A201">
        <v>177</v>
      </c>
      <c r="B201">
        <v>136.64317250890838</v>
      </c>
      <c r="C201">
        <v>50.356827491091622</v>
      </c>
    </row>
    <row r="202" spans="1:3">
      <c r="A202">
        <v>178</v>
      </c>
      <c r="B202">
        <v>136.64317250890838</v>
      </c>
      <c r="C202">
        <v>23.356827491091622</v>
      </c>
    </row>
    <row r="203" spans="1:3">
      <c r="A203">
        <v>179</v>
      </c>
      <c r="B203">
        <v>136.64317250890838</v>
      </c>
      <c r="C203">
        <v>28.356827491091622</v>
      </c>
    </row>
    <row r="204" spans="1:3">
      <c r="A204">
        <v>180</v>
      </c>
      <c r="B204">
        <v>136.64317250890838</v>
      </c>
      <c r="C204">
        <v>-26.643172508908378</v>
      </c>
    </row>
    <row r="205" spans="1:3">
      <c r="A205">
        <v>181</v>
      </c>
      <c r="B205">
        <v>136.64317250890838</v>
      </c>
      <c r="C205">
        <v>36.356827491091622</v>
      </c>
    </row>
    <row r="206" spans="1:3">
      <c r="A206">
        <v>182</v>
      </c>
      <c r="B206">
        <v>136.64317250890838</v>
      </c>
      <c r="C206">
        <v>13.356827491091622</v>
      </c>
    </row>
    <row r="207" spans="1:3">
      <c r="A207">
        <v>183</v>
      </c>
      <c r="B207">
        <v>136.64317250890838</v>
      </c>
      <c r="C207">
        <v>-1.6431725089083784</v>
      </c>
    </row>
    <row r="208" spans="1:3">
      <c r="A208">
        <v>184</v>
      </c>
      <c r="B208">
        <v>136.64317250890838</v>
      </c>
      <c r="C208">
        <v>13.356827491091622</v>
      </c>
    </row>
    <row r="209" spans="1:3">
      <c r="A209">
        <v>185</v>
      </c>
      <c r="B209">
        <v>137.03019470493402</v>
      </c>
      <c r="C209">
        <v>97.969805295065981</v>
      </c>
    </row>
    <row r="210" spans="1:3">
      <c r="A210">
        <v>186</v>
      </c>
      <c r="B210">
        <v>136.64317250890838</v>
      </c>
      <c r="C210">
        <v>199.35682749109162</v>
      </c>
    </row>
    <row r="211" spans="1:3">
      <c r="A211">
        <v>187</v>
      </c>
      <c r="B211">
        <v>136.64317250890838</v>
      </c>
      <c r="C211">
        <v>-4.6431725089083784</v>
      </c>
    </row>
    <row r="212" spans="1:3">
      <c r="A212">
        <v>188</v>
      </c>
      <c r="B212">
        <v>136.64317250890838</v>
      </c>
      <c r="C212">
        <v>-40.643172508908378</v>
      </c>
    </row>
    <row r="213" spans="1:3">
      <c r="A213">
        <v>189</v>
      </c>
      <c r="B213">
        <v>136.64317250890838</v>
      </c>
      <c r="C213">
        <v>43.356827491091622</v>
      </c>
    </row>
    <row r="214" spans="1:3">
      <c r="A214">
        <v>190</v>
      </c>
      <c r="B214">
        <v>136.64317250890838</v>
      </c>
      <c r="C214">
        <v>-8.6431725089083784</v>
      </c>
    </row>
    <row r="215" spans="1:3">
      <c r="A215">
        <v>191</v>
      </c>
      <c r="B215">
        <v>136.64317250890838</v>
      </c>
      <c r="C215">
        <v>275.35682749109162</v>
      </c>
    </row>
    <row r="216" spans="1:3">
      <c r="A216">
        <v>192</v>
      </c>
      <c r="B216">
        <v>136.64317250890838</v>
      </c>
      <c r="C216">
        <v>-20.643172508908378</v>
      </c>
    </row>
    <row r="217" spans="1:3">
      <c r="A217">
        <v>193</v>
      </c>
      <c r="B217">
        <v>136.64317250890838</v>
      </c>
      <c r="C217">
        <v>-22.643172508908378</v>
      </c>
    </row>
    <row r="218" spans="1:3">
      <c r="A218">
        <v>194</v>
      </c>
      <c r="B218">
        <v>136.64317250890838</v>
      </c>
      <c r="C218">
        <v>-21.643172508908378</v>
      </c>
    </row>
    <row r="219" spans="1:3">
      <c r="A219">
        <v>195</v>
      </c>
      <c r="B219">
        <v>136.47490198889722</v>
      </c>
      <c r="C219">
        <v>-32.474901988897216</v>
      </c>
    </row>
    <row r="220" spans="1:3">
      <c r="A220">
        <v>196</v>
      </c>
      <c r="B220">
        <v>136.64317250890838</v>
      </c>
      <c r="C220">
        <v>-48.643172508908378</v>
      </c>
    </row>
    <row r="221" spans="1:3">
      <c r="A221">
        <v>197</v>
      </c>
      <c r="B221">
        <v>136.64317250890838</v>
      </c>
      <c r="C221">
        <v>-28.643172508908378</v>
      </c>
    </row>
    <row r="222" spans="1:3">
      <c r="A222">
        <v>198</v>
      </c>
      <c r="B222">
        <v>136.64317250890838</v>
      </c>
      <c r="C222">
        <v>-46.643172508908378</v>
      </c>
    </row>
    <row r="223" spans="1:3">
      <c r="A223">
        <v>199</v>
      </c>
      <c r="B223">
        <v>136.64317250890838</v>
      </c>
      <c r="C223">
        <v>-36.643172508908378</v>
      </c>
    </row>
    <row r="224" spans="1:3">
      <c r="A224">
        <v>200</v>
      </c>
      <c r="B224">
        <v>136.64317250890838</v>
      </c>
      <c r="C224">
        <v>-28.643172508908378</v>
      </c>
    </row>
    <row r="225" spans="1:3">
      <c r="A225">
        <v>201</v>
      </c>
      <c r="B225">
        <v>136.64317250890838</v>
      </c>
      <c r="C225">
        <v>-58.643172508908378</v>
      </c>
    </row>
    <row r="226" spans="1:3">
      <c r="A226">
        <v>202</v>
      </c>
      <c r="B226">
        <v>136.64317250890838</v>
      </c>
      <c r="C226">
        <v>-13.643172508908378</v>
      </c>
    </row>
    <row r="227" spans="1:3">
      <c r="A227">
        <v>203</v>
      </c>
      <c r="B227">
        <v>136.64317250890838</v>
      </c>
      <c r="C227">
        <v>50.356827491091622</v>
      </c>
    </row>
    <row r="228" spans="1:3">
      <c r="A228">
        <v>204</v>
      </c>
      <c r="B228">
        <v>136.64317250890838</v>
      </c>
      <c r="C228">
        <v>9.3568274910916216</v>
      </c>
    </row>
    <row r="229" spans="1:3">
      <c r="A229">
        <v>205</v>
      </c>
      <c r="B229">
        <v>136.64317250890838</v>
      </c>
      <c r="C229">
        <v>-56.643172508908378</v>
      </c>
    </row>
    <row r="230" spans="1:3">
      <c r="A230">
        <v>206</v>
      </c>
      <c r="B230">
        <v>136.64317250890838</v>
      </c>
      <c r="C230">
        <v>-36.643172508908378</v>
      </c>
    </row>
    <row r="231" spans="1:3">
      <c r="A231">
        <v>207</v>
      </c>
      <c r="B231">
        <v>136.64317250890838</v>
      </c>
      <c r="C231">
        <v>-81.643172508908378</v>
      </c>
    </row>
    <row r="232" spans="1:3">
      <c r="A232">
        <v>208</v>
      </c>
      <c r="B232">
        <v>136.64317250890838</v>
      </c>
      <c r="C232">
        <v>63.356827491091622</v>
      </c>
    </row>
    <row r="233" spans="1:3">
      <c r="A233">
        <v>209</v>
      </c>
      <c r="B233">
        <v>136.72730776891396</v>
      </c>
      <c r="C233">
        <v>13.27269223108604</v>
      </c>
    </row>
    <row r="234" spans="1:3">
      <c r="A234">
        <v>210</v>
      </c>
      <c r="B234">
        <v>137.0975029129385</v>
      </c>
      <c r="C234">
        <v>12.902497087061505</v>
      </c>
    </row>
    <row r="235" spans="1:3">
      <c r="A235">
        <v>211</v>
      </c>
      <c r="B235">
        <v>136.64317250890838</v>
      </c>
      <c r="C235">
        <v>-18.643172508908378</v>
      </c>
    </row>
    <row r="236" spans="1:3">
      <c r="A236">
        <v>212</v>
      </c>
      <c r="B236">
        <v>136.64317250890838</v>
      </c>
      <c r="C236">
        <v>13.356827491091622</v>
      </c>
    </row>
    <row r="237" spans="1:3">
      <c r="A237">
        <v>213</v>
      </c>
      <c r="B237">
        <v>136.64317250890838</v>
      </c>
      <c r="C237">
        <v>-18.643172508908378</v>
      </c>
    </row>
    <row r="238" spans="1:3">
      <c r="A238">
        <v>214</v>
      </c>
      <c r="B238">
        <v>136.64317250890838</v>
      </c>
      <c r="C238">
        <v>75.356827491091622</v>
      </c>
    </row>
    <row r="239" spans="1:3">
      <c r="A239">
        <v>215</v>
      </c>
      <c r="B239">
        <v>136.64317250890838</v>
      </c>
      <c r="C239">
        <v>75.356827491091622</v>
      </c>
    </row>
    <row r="240" spans="1:3">
      <c r="A240">
        <v>216</v>
      </c>
      <c r="B240">
        <v>136.47490198889722</v>
      </c>
      <c r="C240">
        <v>-11.474901988897216</v>
      </c>
    </row>
    <row r="241" spans="1:3">
      <c r="A241">
        <v>217</v>
      </c>
      <c r="B241">
        <v>136.72730776891396</v>
      </c>
      <c r="C241">
        <v>-28.72730776891396</v>
      </c>
    </row>
    <row r="242" spans="1:3">
      <c r="A242">
        <v>218</v>
      </c>
      <c r="B242">
        <v>136.64317250890838</v>
      </c>
      <c r="C242">
        <v>12.356827491091622</v>
      </c>
    </row>
    <row r="243" spans="1:3">
      <c r="A243">
        <v>219</v>
      </c>
      <c r="B243">
        <v>136.64317250890838</v>
      </c>
      <c r="C243">
        <v>-56.643172508908378</v>
      </c>
    </row>
    <row r="244" spans="1:3">
      <c r="A244">
        <v>220</v>
      </c>
      <c r="B244">
        <v>136.64317250890838</v>
      </c>
      <c r="C244">
        <v>15.356827491091622</v>
      </c>
    </row>
    <row r="245" spans="1:3">
      <c r="A245">
        <v>221</v>
      </c>
      <c r="B245">
        <v>136.64317250890838</v>
      </c>
      <c r="C245">
        <v>50.356827491091622</v>
      </c>
    </row>
    <row r="246" spans="1:3">
      <c r="A246">
        <v>222</v>
      </c>
      <c r="B246">
        <v>136.64317250890838</v>
      </c>
      <c r="C246">
        <v>-62.643172508908378</v>
      </c>
    </row>
    <row r="247" spans="1:3">
      <c r="A247">
        <v>223</v>
      </c>
      <c r="B247">
        <v>136.64317250890838</v>
      </c>
      <c r="C247">
        <v>-34.643172508908378</v>
      </c>
    </row>
    <row r="248" spans="1:3">
      <c r="A248">
        <v>224</v>
      </c>
      <c r="B248">
        <v>136.64317250890838</v>
      </c>
      <c r="C248">
        <v>-36.643172508908378</v>
      </c>
    </row>
    <row r="249" spans="1:3">
      <c r="A249">
        <v>225</v>
      </c>
      <c r="B249">
        <v>136.64317250890838</v>
      </c>
      <c r="C249">
        <v>-6.6431725089083784</v>
      </c>
    </row>
    <row r="250" spans="1:3">
      <c r="A250">
        <v>226</v>
      </c>
      <c r="B250">
        <v>136.89557828892509</v>
      </c>
      <c r="C250">
        <v>-11.895578288925094</v>
      </c>
    </row>
    <row r="251" spans="1:3">
      <c r="A251">
        <v>227</v>
      </c>
      <c r="B251">
        <v>136.64317250890838</v>
      </c>
      <c r="C251">
        <v>-6.6431725089083784</v>
      </c>
    </row>
    <row r="252" spans="1:3">
      <c r="A252">
        <v>228</v>
      </c>
      <c r="B252">
        <v>136.64317250890838</v>
      </c>
      <c r="C252">
        <v>1.3568274910916216</v>
      </c>
    </row>
    <row r="253" spans="1:3">
      <c r="A253">
        <v>229</v>
      </c>
      <c r="B253">
        <v>136.64317250890838</v>
      </c>
      <c r="C253">
        <v>-108.64317250890838</v>
      </c>
    </row>
    <row r="254" spans="1:3">
      <c r="A254">
        <v>230</v>
      </c>
      <c r="B254">
        <v>136.64317250890838</v>
      </c>
      <c r="C254">
        <v>-44.643172508908378</v>
      </c>
    </row>
    <row r="255" spans="1:3">
      <c r="A255">
        <v>231</v>
      </c>
      <c r="B255">
        <v>136.64317250890838</v>
      </c>
      <c r="C255">
        <v>-32.643172508908378</v>
      </c>
    </row>
    <row r="256" spans="1:3">
      <c r="A256">
        <v>232</v>
      </c>
      <c r="B256">
        <v>136.64317250890838</v>
      </c>
      <c r="C256">
        <v>39.356827491091622</v>
      </c>
    </row>
    <row r="257" spans="1:3">
      <c r="A257">
        <v>233</v>
      </c>
      <c r="B257">
        <v>136.47490198889722</v>
      </c>
      <c r="C257">
        <v>-19.474901988897216</v>
      </c>
    </row>
    <row r="258" spans="1:3">
      <c r="A258">
        <v>234</v>
      </c>
      <c r="B258">
        <v>136.64317250890838</v>
      </c>
      <c r="C258">
        <v>-34.643172508908378</v>
      </c>
    </row>
    <row r="259" spans="1:3">
      <c r="A259">
        <v>235</v>
      </c>
      <c r="B259">
        <v>136.64317250890838</v>
      </c>
      <c r="C259">
        <v>-29.643172508908378</v>
      </c>
    </row>
    <row r="260" spans="1:3">
      <c r="A260">
        <v>236</v>
      </c>
      <c r="B260">
        <v>136.64317250890838</v>
      </c>
      <c r="C260">
        <v>-70.643172508908378</v>
      </c>
    </row>
    <row r="261" spans="1:3">
      <c r="A261">
        <v>237</v>
      </c>
      <c r="B261">
        <v>136.64317250890838</v>
      </c>
      <c r="C261">
        <v>-31.643172508908378</v>
      </c>
    </row>
    <row r="262" spans="1:3">
      <c r="A262">
        <v>238</v>
      </c>
      <c r="B262">
        <v>136.64317250890838</v>
      </c>
      <c r="C262">
        <v>-31.643172508908378</v>
      </c>
    </row>
    <row r="263" spans="1:3">
      <c r="A263">
        <v>239</v>
      </c>
      <c r="B263">
        <v>136.89557828892509</v>
      </c>
      <c r="C263">
        <v>-31.895578288925094</v>
      </c>
    </row>
    <row r="264" spans="1:3">
      <c r="A264">
        <v>240</v>
      </c>
      <c r="B264">
        <v>136.64317250890838</v>
      </c>
      <c r="C264">
        <v>-11.643172508908378</v>
      </c>
    </row>
    <row r="265" spans="1:3">
      <c r="A265">
        <v>241</v>
      </c>
      <c r="B265">
        <v>136.64317250890838</v>
      </c>
      <c r="C265">
        <v>-72.643172508908378</v>
      </c>
    </row>
    <row r="266" spans="1:3">
      <c r="A266">
        <v>242</v>
      </c>
      <c r="B266">
        <v>136.64317250890838</v>
      </c>
      <c r="C266">
        <v>13.356827491091622</v>
      </c>
    </row>
    <row r="267" spans="1:3">
      <c r="A267">
        <v>243</v>
      </c>
      <c r="B267">
        <v>136.89557828892509</v>
      </c>
      <c r="C267">
        <v>13.104421711074906</v>
      </c>
    </row>
    <row r="268" spans="1:3">
      <c r="A268">
        <v>244</v>
      </c>
      <c r="B268">
        <v>136.47490198889722</v>
      </c>
      <c r="C268">
        <v>-72.474901988897216</v>
      </c>
    </row>
    <row r="269" spans="1:3">
      <c r="A269">
        <v>245</v>
      </c>
      <c r="B269">
        <v>136.72730776891396</v>
      </c>
      <c r="C269">
        <v>-96.72730776891396</v>
      </c>
    </row>
    <row r="270" spans="1:3">
      <c r="A270">
        <v>246</v>
      </c>
      <c r="B270">
        <v>136.64317250890838</v>
      </c>
      <c r="C270">
        <v>5.3568274910916216</v>
      </c>
    </row>
    <row r="271" spans="1:3">
      <c r="A271">
        <v>247</v>
      </c>
      <c r="B271">
        <v>136.64317250890838</v>
      </c>
      <c r="C271">
        <v>-66.643172508908378</v>
      </c>
    </row>
    <row r="272" spans="1:3">
      <c r="A272">
        <v>248</v>
      </c>
      <c r="B272">
        <v>136.64317250890838</v>
      </c>
      <c r="C272">
        <v>-5.6431725089083784</v>
      </c>
    </row>
    <row r="273" spans="1:3">
      <c r="A273">
        <v>249</v>
      </c>
      <c r="B273">
        <v>136.64317250890838</v>
      </c>
      <c r="C273">
        <v>-16.643172508908378</v>
      </c>
    </row>
    <row r="274" spans="1:3">
      <c r="A274">
        <v>250</v>
      </c>
      <c r="B274">
        <v>136.64317250890838</v>
      </c>
      <c r="C274">
        <v>-22.643172508908378</v>
      </c>
    </row>
    <row r="275" spans="1:3">
      <c r="A275">
        <v>251</v>
      </c>
      <c r="B275">
        <v>136.64317250890838</v>
      </c>
      <c r="C275">
        <v>-13.643172508908378</v>
      </c>
    </row>
    <row r="276" spans="1:3">
      <c r="A276">
        <v>252</v>
      </c>
      <c r="B276">
        <v>136.64317250890838</v>
      </c>
      <c r="C276">
        <v>-44.643172508908378</v>
      </c>
    </row>
    <row r="277" spans="1:3">
      <c r="A277">
        <v>253</v>
      </c>
      <c r="B277">
        <v>136.64317250890838</v>
      </c>
      <c r="C277">
        <v>23.356827491091622</v>
      </c>
    </row>
    <row r="278" spans="1:3">
      <c r="A278">
        <v>254</v>
      </c>
      <c r="B278">
        <v>136.64317250890838</v>
      </c>
      <c r="C278">
        <v>14.356827491091622</v>
      </c>
    </row>
    <row r="279" spans="1:3">
      <c r="A279">
        <v>255</v>
      </c>
      <c r="B279">
        <v>136.64317250890838</v>
      </c>
      <c r="C279">
        <v>-55.643172508908378</v>
      </c>
    </row>
    <row r="280" spans="1:3">
      <c r="A280">
        <v>256</v>
      </c>
      <c r="B280">
        <v>136.64317250890838</v>
      </c>
      <c r="C280">
        <v>34.356827491091622</v>
      </c>
    </row>
    <row r="281" spans="1:3">
      <c r="A281">
        <v>257</v>
      </c>
      <c r="B281">
        <v>136.64317250890838</v>
      </c>
      <c r="C281">
        <v>-26.643172508908378</v>
      </c>
    </row>
    <row r="282" spans="1:3">
      <c r="A282">
        <v>258</v>
      </c>
      <c r="B282">
        <v>136.64317250890838</v>
      </c>
      <c r="C282">
        <v>-36.643172508908378</v>
      </c>
    </row>
    <row r="283" spans="1:3">
      <c r="A283">
        <v>259</v>
      </c>
      <c r="B283">
        <v>136.64317250890838</v>
      </c>
      <c r="C283">
        <v>97.356827491091622</v>
      </c>
    </row>
    <row r="284" spans="1:3">
      <c r="A284">
        <v>260</v>
      </c>
      <c r="B284">
        <v>136.47490198889722</v>
      </c>
      <c r="C284">
        <v>47.525098011102784</v>
      </c>
    </row>
    <row r="285" spans="1:3">
      <c r="A285">
        <v>261</v>
      </c>
      <c r="B285">
        <v>136.64317250890838</v>
      </c>
      <c r="C285">
        <v>1.3568274910916216</v>
      </c>
    </row>
    <row r="286" spans="1:3">
      <c r="A286">
        <v>262</v>
      </c>
      <c r="B286">
        <v>136.64317250890838</v>
      </c>
      <c r="C286">
        <v>-24.643172508908378</v>
      </c>
    </row>
    <row r="287" spans="1:3">
      <c r="A287">
        <v>263</v>
      </c>
      <c r="B287">
        <v>136.64317250890838</v>
      </c>
      <c r="C287">
        <v>-19.643172508908378</v>
      </c>
    </row>
    <row r="288" spans="1:3">
      <c r="A288">
        <v>264</v>
      </c>
      <c r="B288">
        <v>136.64317250890838</v>
      </c>
      <c r="C288">
        <v>-87.643172508908378</v>
      </c>
    </row>
    <row r="289" spans="1:3">
      <c r="A289">
        <v>265</v>
      </c>
      <c r="B289">
        <v>136.64317250890838</v>
      </c>
      <c r="C289">
        <v>-37.643172508908378</v>
      </c>
    </row>
    <row r="290" spans="1:3">
      <c r="A290">
        <v>266</v>
      </c>
      <c r="B290">
        <v>136.64317250890838</v>
      </c>
      <c r="C290">
        <v>-37.643172508908378</v>
      </c>
    </row>
    <row r="291" spans="1:3">
      <c r="A291">
        <v>267</v>
      </c>
      <c r="B291">
        <v>136.64317250890838</v>
      </c>
      <c r="C291">
        <v>75.356827491091622</v>
      </c>
    </row>
    <row r="292" spans="1:3">
      <c r="A292">
        <v>268</v>
      </c>
      <c r="B292">
        <v>136.64317250890838</v>
      </c>
      <c r="C292">
        <v>103.35682749109162</v>
      </c>
    </row>
    <row r="293" spans="1:3">
      <c r="A293">
        <v>269</v>
      </c>
      <c r="B293">
        <v>136.64317250890838</v>
      </c>
      <c r="C293">
        <v>-6.6431725089083784</v>
      </c>
    </row>
    <row r="294" spans="1:3">
      <c r="A294">
        <v>270</v>
      </c>
      <c r="B294">
        <v>136.64317250890838</v>
      </c>
      <c r="C294">
        <v>-42.643172508908378</v>
      </c>
    </row>
    <row r="295" spans="1:3">
      <c r="A295">
        <v>271</v>
      </c>
      <c r="B295">
        <v>136.89557828892509</v>
      </c>
      <c r="C295">
        <v>-28.895578288925094</v>
      </c>
    </row>
    <row r="296" spans="1:3">
      <c r="A296">
        <v>272</v>
      </c>
      <c r="B296">
        <v>136.64317250890838</v>
      </c>
      <c r="C296">
        <v>7.3568274910916216</v>
      </c>
    </row>
    <row r="297" spans="1:3">
      <c r="A297">
        <v>273</v>
      </c>
      <c r="B297">
        <v>136.64317250890838</v>
      </c>
      <c r="C297">
        <v>-26.643172508908378</v>
      </c>
    </row>
    <row r="298" spans="1:3">
      <c r="A298">
        <v>274</v>
      </c>
      <c r="B298">
        <v>136.64317250890838</v>
      </c>
      <c r="C298">
        <v>39.356827491091622</v>
      </c>
    </row>
    <row r="299" spans="1:3">
      <c r="A299">
        <v>275</v>
      </c>
      <c r="B299">
        <v>136.64317250890838</v>
      </c>
      <c r="C299">
        <v>48.356827491091622</v>
      </c>
    </row>
    <row r="300" spans="1:3">
      <c r="A300">
        <v>276</v>
      </c>
      <c r="B300">
        <v>136.64317250890838</v>
      </c>
      <c r="C300">
        <v>-14.643172508908378</v>
      </c>
    </row>
    <row r="301" spans="1:3">
      <c r="A301">
        <v>277</v>
      </c>
      <c r="B301">
        <v>136.64317250890838</v>
      </c>
      <c r="C301">
        <v>-10.643172508908378</v>
      </c>
    </row>
    <row r="302" spans="1:3">
      <c r="A302">
        <v>278</v>
      </c>
      <c r="B302">
        <v>136.64317250890838</v>
      </c>
      <c r="C302">
        <v>-1.6431725089083784</v>
      </c>
    </row>
    <row r="303" spans="1:3">
      <c r="A303">
        <v>279</v>
      </c>
      <c r="B303">
        <v>136.64317250890838</v>
      </c>
      <c r="C303">
        <v>-14.643172508908378</v>
      </c>
    </row>
    <row r="304" spans="1:3">
      <c r="A304">
        <v>280</v>
      </c>
      <c r="B304">
        <v>136.64317250890838</v>
      </c>
      <c r="C304">
        <v>323.35682749109162</v>
      </c>
    </row>
    <row r="305" spans="1:3">
      <c r="A305">
        <v>281</v>
      </c>
      <c r="B305">
        <v>136.64317250890838</v>
      </c>
      <c r="C305">
        <v>160.35682749109162</v>
      </c>
    </row>
    <row r="306" spans="1:3">
      <c r="A306">
        <v>282</v>
      </c>
      <c r="B306">
        <v>136.64317250890838</v>
      </c>
      <c r="C306">
        <v>3.3568274910916216</v>
      </c>
    </row>
    <row r="307" spans="1:3">
      <c r="A307">
        <v>283</v>
      </c>
      <c r="B307">
        <v>136.64317250890838</v>
      </c>
      <c r="C307">
        <v>-30.643172508908378</v>
      </c>
    </row>
    <row r="308" spans="1:3">
      <c r="A308">
        <v>284</v>
      </c>
      <c r="B308">
        <v>136.64317250890838</v>
      </c>
      <c r="C308">
        <v>4.3568274910916216</v>
      </c>
    </row>
    <row r="309" spans="1:3">
      <c r="A309">
        <v>285</v>
      </c>
      <c r="B309">
        <v>136.64317250890838</v>
      </c>
      <c r="C309">
        <v>33.356827491091622</v>
      </c>
    </row>
    <row r="310" spans="1:3">
      <c r="A310">
        <v>286</v>
      </c>
      <c r="B310">
        <v>136.64317250890838</v>
      </c>
      <c r="C310">
        <v>8.3568274910916216</v>
      </c>
    </row>
    <row r="311" spans="1:3">
      <c r="A311">
        <v>287</v>
      </c>
      <c r="B311">
        <v>136.64317250890838</v>
      </c>
      <c r="C311">
        <v>-46.643172508908378</v>
      </c>
    </row>
    <row r="312" spans="1:3">
      <c r="A312">
        <v>288</v>
      </c>
      <c r="B312">
        <v>136.64317250890838</v>
      </c>
      <c r="C312">
        <v>-48.643172508908378</v>
      </c>
    </row>
    <row r="313" spans="1:3">
      <c r="A313">
        <v>289</v>
      </c>
      <c r="B313">
        <v>136.47490198889722</v>
      </c>
      <c r="C313">
        <v>-8.4749019888972157</v>
      </c>
    </row>
    <row r="314" spans="1:3">
      <c r="A314">
        <v>290</v>
      </c>
      <c r="B314">
        <v>136.64317250890838</v>
      </c>
      <c r="C314">
        <v>-52.643172508908378</v>
      </c>
    </row>
    <row r="315" spans="1:3">
      <c r="A315">
        <v>291</v>
      </c>
      <c r="B315">
        <v>136.64317250890838</v>
      </c>
      <c r="C315">
        <v>-28.643172508908378</v>
      </c>
    </row>
    <row r="316" spans="1:3">
      <c r="A316">
        <v>292</v>
      </c>
      <c r="B316">
        <v>136.64317250890838</v>
      </c>
      <c r="C316">
        <v>-53.643172508908378</v>
      </c>
    </row>
    <row r="317" spans="1:3">
      <c r="A317">
        <v>293</v>
      </c>
      <c r="B317">
        <v>136.64317250890838</v>
      </c>
      <c r="C317">
        <v>-19.643172508908378</v>
      </c>
    </row>
    <row r="318" spans="1:3">
      <c r="A318">
        <v>294</v>
      </c>
      <c r="B318">
        <v>136.64317250890838</v>
      </c>
      <c r="C318">
        <v>-8.6431725089083784</v>
      </c>
    </row>
    <row r="319" spans="1:3">
      <c r="A319">
        <v>295</v>
      </c>
      <c r="B319">
        <v>136.64317250890838</v>
      </c>
      <c r="C319">
        <v>-61.643172508908378</v>
      </c>
    </row>
    <row r="320" spans="1:3">
      <c r="A320">
        <v>296</v>
      </c>
      <c r="B320">
        <v>136.64317250890838</v>
      </c>
      <c r="C320">
        <v>-11.643172508908378</v>
      </c>
    </row>
    <row r="321" spans="1:3">
      <c r="A321">
        <v>297</v>
      </c>
      <c r="B321">
        <v>136.64317250890838</v>
      </c>
      <c r="C321">
        <v>40.356827491091622</v>
      </c>
    </row>
    <row r="322" spans="1:3">
      <c r="A322">
        <v>298</v>
      </c>
      <c r="B322">
        <v>136.64317250890838</v>
      </c>
      <c r="C322">
        <v>-68.643172508908378</v>
      </c>
    </row>
    <row r="323" spans="1:3">
      <c r="A323">
        <v>299</v>
      </c>
      <c r="B323">
        <v>136.64317250890838</v>
      </c>
      <c r="C323">
        <v>-40.643172508908378</v>
      </c>
    </row>
    <row r="324" spans="1:3">
      <c r="A324">
        <v>300</v>
      </c>
      <c r="B324">
        <v>136.64317250890838</v>
      </c>
      <c r="C324">
        <v>43.356827491091622</v>
      </c>
    </row>
    <row r="325" spans="1:3">
      <c r="A325">
        <v>301</v>
      </c>
      <c r="B325">
        <v>136.64317250890838</v>
      </c>
      <c r="C325">
        <v>46.356827491091622</v>
      </c>
    </row>
    <row r="326" spans="1:3">
      <c r="A326">
        <v>302</v>
      </c>
      <c r="B326">
        <v>136.64317250890838</v>
      </c>
      <c r="C326">
        <v>-15.643172508908378</v>
      </c>
    </row>
    <row r="327" spans="1:3">
      <c r="A327">
        <v>303</v>
      </c>
      <c r="B327">
        <v>136.64317250890838</v>
      </c>
      <c r="C327">
        <v>25.356827491091622</v>
      </c>
    </row>
    <row r="328" spans="1:3">
      <c r="A328">
        <v>304</v>
      </c>
      <c r="B328">
        <v>136.64317250890838</v>
      </c>
      <c r="C328">
        <v>-4.6431725089083784</v>
      </c>
    </row>
    <row r="329" spans="1:3">
      <c r="A329">
        <v>305</v>
      </c>
      <c r="B329">
        <v>136.64317250890838</v>
      </c>
      <c r="C329">
        <v>10.356827491091622</v>
      </c>
    </row>
    <row r="330" spans="1:3">
      <c r="A330">
        <v>306</v>
      </c>
      <c r="B330">
        <v>137.03019470493402</v>
      </c>
      <c r="C330">
        <v>15.969805295065981</v>
      </c>
    </row>
    <row r="331" spans="1:3">
      <c r="A331">
        <v>307</v>
      </c>
      <c r="B331">
        <v>136.64317250890838</v>
      </c>
      <c r="C331">
        <v>-32.643172508908378</v>
      </c>
    </row>
    <row r="332" spans="1:3">
      <c r="A332">
        <v>308</v>
      </c>
      <c r="B332">
        <v>136.72730776891396</v>
      </c>
      <c r="C332">
        <v>12.27269223108604</v>
      </c>
    </row>
    <row r="333" spans="1:3">
      <c r="A333">
        <v>309</v>
      </c>
      <c r="B333">
        <v>136.89557828892509</v>
      </c>
      <c r="C333">
        <v>-2.8955782889250941</v>
      </c>
    </row>
    <row r="334" spans="1:3">
      <c r="A334">
        <v>310</v>
      </c>
      <c r="B334">
        <v>136.64317250890838</v>
      </c>
      <c r="C334">
        <v>28.356827491091622</v>
      </c>
    </row>
    <row r="335" spans="1:3">
      <c r="A335">
        <v>311</v>
      </c>
      <c r="B335">
        <v>136.64317250890838</v>
      </c>
      <c r="C335">
        <v>-16.643172508908378</v>
      </c>
    </row>
    <row r="336" spans="1:3">
      <c r="A336">
        <v>312</v>
      </c>
      <c r="B336">
        <v>136.64317250890838</v>
      </c>
      <c r="C336">
        <v>-69.643172508908378</v>
      </c>
    </row>
    <row r="337" spans="1:3">
      <c r="A337">
        <v>313</v>
      </c>
      <c r="B337">
        <v>136.64317250890838</v>
      </c>
      <c r="C337">
        <v>-11.643172508908378</v>
      </c>
    </row>
    <row r="338" spans="1:3">
      <c r="A338">
        <v>314</v>
      </c>
      <c r="B338">
        <v>136.64317250890838</v>
      </c>
      <c r="C338">
        <v>-16.643172508908378</v>
      </c>
    </row>
    <row r="339" spans="1:3">
      <c r="A339">
        <v>315</v>
      </c>
      <c r="B339">
        <v>136.64317250890838</v>
      </c>
      <c r="C339">
        <v>11.356827491091622</v>
      </c>
    </row>
    <row r="340" spans="1:3">
      <c r="A340">
        <v>316</v>
      </c>
      <c r="B340">
        <v>136.97971354893068</v>
      </c>
      <c r="C340">
        <v>44.020286451069325</v>
      </c>
    </row>
    <row r="341" spans="1:3">
      <c r="A341">
        <v>317</v>
      </c>
      <c r="B341">
        <v>136.64317250890838</v>
      </c>
      <c r="C341">
        <v>-56.643172508908378</v>
      </c>
    </row>
    <row r="342" spans="1:3">
      <c r="A342">
        <v>318</v>
      </c>
      <c r="B342">
        <v>136.64317250890838</v>
      </c>
      <c r="C342">
        <v>-96.643172508908378</v>
      </c>
    </row>
    <row r="343" spans="1:3">
      <c r="A343">
        <v>319</v>
      </c>
      <c r="B343">
        <v>137.13957054294127</v>
      </c>
      <c r="C343">
        <v>-47.139570542941271</v>
      </c>
    </row>
    <row r="344" spans="1:3">
      <c r="A344">
        <v>320</v>
      </c>
      <c r="B344">
        <v>136.64317250890838</v>
      </c>
      <c r="C344">
        <v>-41.643172508908378</v>
      </c>
    </row>
    <row r="345" spans="1:3">
      <c r="A345">
        <v>321</v>
      </c>
      <c r="B345">
        <v>136.64317250890838</v>
      </c>
      <c r="C345">
        <v>-14.643172508908378</v>
      </c>
    </row>
    <row r="346" spans="1:3">
      <c r="A346">
        <v>322</v>
      </c>
      <c r="B346">
        <v>136.64317250890838</v>
      </c>
      <c r="C346">
        <v>13.356827491091622</v>
      </c>
    </row>
    <row r="347" spans="1:3">
      <c r="A347">
        <v>323</v>
      </c>
      <c r="B347">
        <v>136.64317250890838</v>
      </c>
      <c r="C347">
        <v>13.356827491091622</v>
      </c>
    </row>
    <row r="348" spans="1:3">
      <c r="A348">
        <v>324</v>
      </c>
      <c r="B348">
        <v>136.64317250890838</v>
      </c>
      <c r="C348">
        <v>-32.643172508908378</v>
      </c>
    </row>
    <row r="349" spans="1:3">
      <c r="A349">
        <v>325</v>
      </c>
      <c r="B349">
        <v>136.64317250890838</v>
      </c>
      <c r="C349">
        <v>6.3568274910916216</v>
      </c>
    </row>
    <row r="350" spans="1:3">
      <c r="A350">
        <v>326</v>
      </c>
      <c r="B350">
        <v>136.64317250890838</v>
      </c>
      <c r="C350">
        <v>163.35682749109162</v>
      </c>
    </row>
    <row r="351" spans="1:3">
      <c r="A351">
        <v>327</v>
      </c>
      <c r="B351">
        <v>136.64317250890838</v>
      </c>
      <c r="C351">
        <v>34.356827491091622</v>
      </c>
    </row>
    <row r="352" spans="1:3">
      <c r="A352">
        <v>328</v>
      </c>
      <c r="B352">
        <v>136.64317250890838</v>
      </c>
      <c r="C352">
        <v>-23.643172508908378</v>
      </c>
    </row>
    <row r="353" spans="1:3">
      <c r="A353">
        <v>329</v>
      </c>
      <c r="B353">
        <v>136.64317250890838</v>
      </c>
      <c r="C353">
        <v>-101.64317250890838</v>
      </c>
    </row>
    <row r="354" spans="1:3">
      <c r="A354">
        <v>330</v>
      </c>
      <c r="B354">
        <v>136.64317250890838</v>
      </c>
      <c r="C354">
        <v>-90.643172508908378</v>
      </c>
    </row>
    <row r="355" spans="1:3">
      <c r="A355">
        <v>331</v>
      </c>
      <c r="B355">
        <v>136.64317250890838</v>
      </c>
      <c r="C355">
        <v>8.3568274910916216</v>
      </c>
    </row>
    <row r="356" spans="1:3">
      <c r="A356">
        <v>332</v>
      </c>
      <c r="B356">
        <v>136.81144302891951</v>
      </c>
      <c r="C356">
        <v>-17.811443028919513</v>
      </c>
    </row>
    <row r="357" spans="1:3">
      <c r="A357">
        <v>333</v>
      </c>
      <c r="B357">
        <v>136.64317250890838</v>
      </c>
      <c r="C357">
        <v>-49.643172508908378</v>
      </c>
    </row>
    <row r="358" spans="1:3">
      <c r="A358">
        <v>334</v>
      </c>
      <c r="B358">
        <v>136.89557828892509</v>
      </c>
      <c r="C358">
        <v>25.104421711074906</v>
      </c>
    </row>
    <row r="359" spans="1:3">
      <c r="A359">
        <v>335</v>
      </c>
      <c r="B359">
        <v>136.64317250890838</v>
      </c>
      <c r="C359">
        <v>-14.643172508908378</v>
      </c>
    </row>
    <row r="360" spans="1:3">
      <c r="A360">
        <v>336</v>
      </c>
      <c r="B360">
        <v>136.89557828892509</v>
      </c>
      <c r="C360">
        <v>50.104421711074906</v>
      </c>
    </row>
    <row r="361" spans="1:3" ht="13" thickBot="1">
      <c r="A361" s="3">
        <v>337</v>
      </c>
      <c r="B361" s="3">
        <v>136.64317250890838</v>
      </c>
      <c r="C361" s="3">
        <v>-55.643172508908378</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6DFD4-67E9-40BA-ABC4-20CC92C930B8}">
  <dimension ref="A1:BX72"/>
  <sheetViews>
    <sheetView showGridLines="0" topLeftCell="C34" zoomScale="36" workbookViewId="0">
      <selection activeCell="AH62" sqref="AH62"/>
    </sheetView>
  </sheetViews>
  <sheetFormatPr defaultRowHeight="12.5"/>
  <sheetData>
    <row r="1" spans="1:76" ht="28">
      <c r="A1" s="13" t="s">
        <v>424</v>
      </c>
      <c r="B1" s="13"/>
      <c r="C1" s="13"/>
      <c r="D1" s="13"/>
      <c r="E1" s="13"/>
      <c r="F1" s="13"/>
      <c r="G1" s="13"/>
      <c r="H1" s="13"/>
      <c r="I1" s="13"/>
      <c r="J1" s="13"/>
      <c r="K1" s="13"/>
      <c r="L1" s="13"/>
      <c r="M1" s="13"/>
      <c r="N1" s="13"/>
      <c r="O1" s="13"/>
      <c r="P1" s="13"/>
      <c r="Q1" s="13"/>
      <c r="R1" s="13"/>
      <c r="S1" s="13"/>
      <c r="T1" s="13"/>
      <c r="U1" s="14"/>
      <c r="V1" s="15"/>
      <c r="W1" s="15"/>
      <c r="X1" s="15"/>
      <c r="Y1" s="15"/>
      <c r="Z1" s="15"/>
      <c r="AA1" s="15"/>
      <c r="AB1" s="15"/>
      <c r="AC1" s="15"/>
      <c r="AD1" s="15"/>
      <c r="AE1" s="15"/>
      <c r="AF1" s="15"/>
      <c r="AG1" s="15"/>
      <c r="AH1" s="15"/>
      <c r="AI1" s="15"/>
      <c r="AJ1" s="15"/>
      <c r="AK1" s="14"/>
      <c r="AL1" s="14"/>
      <c r="AM1" s="14"/>
      <c r="AN1" s="14"/>
      <c r="AO1" s="14"/>
      <c r="AP1" s="14"/>
      <c r="AQ1" s="14"/>
      <c r="AR1" s="15" t="s">
        <v>437</v>
      </c>
      <c r="AS1" s="15"/>
      <c r="AT1" s="15"/>
      <c r="AU1" s="15"/>
      <c r="AV1" s="15"/>
      <c r="AW1" s="15"/>
      <c r="AX1" s="15"/>
      <c r="AY1" s="15"/>
      <c r="AZ1" s="15"/>
      <c r="BA1" s="15"/>
      <c r="BB1" s="15"/>
      <c r="BC1" s="15"/>
      <c r="BD1" s="15"/>
      <c r="BE1" s="15"/>
      <c r="BF1" s="15"/>
      <c r="BG1" s="14"/>
      <c r="BH1" s="14"/>
      <c r="BI1" s="14"/>
      <c r="BJ1" s="14"/>
      <c r="BK1" s="14"/>
      <c r="BL1" s="14"/>
      <c r="BM1" s="14"/>
      <c r="BN1" s="14"/>
      <c r="BO1" s="14"/>
      <c r="BP1" s="14"/>
      <c r="BQ1" s="14"/>
      <c r="BR1" s="14"/>
      <c r="BS1" s="14"/>
      <c r="BT1" s="14"/>
      <c r="BU1" s="14"/>
      <c r="BV1" s="14"/>
      <c r="BW1" s="14"/>
      <c r="BX1" s="14"/>
    </row>
    <row r="2" spans="1:76" ht="28">
      <c r="A2" s="16"/>
      <c r="B2" s="16"/>
      <c r="C2" s="16"/>
      <c r="D2" s="16"/>
      <c r="E2" s="16"/>
      <c r="F2" s="16"/>
      <c r="G2" s="16"/>
      <c r="H2" s="16"/>
      <c r="I2" s="16"/>
      <c r="J2" s="16"/>
      <c r="K2" s="16"/>
      <c r="L2" s="16"/>
      <c r="M2" s="16"/>
      <c r="N2" s="16"/>
      <c r="O2" s="16"/>
      <c r="P2" s="16"/>
      <c r="Q2" s="16"/>
      <c r="R2" s="16"/>
      <c r="S2" s="16"/>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4"/>
      <c r="BP2" s="14"/>
      <c r="BQ2" s="14"/>
      <c r="BR2" s="14"/>
      <c r="BS2" s="14"/>
      <c r="BT2" s="14"/>
      <c r="BU2" s="14"/>
      <c r="BV2" s="14"/>
      <c r="BW2" s="14"/>
      <c r="BX2" s="14"/>
    </row>
    <row r="3" spans="1:76" ht="28">
      <c r="A3" s="17" t="s">
        <v>425</v>
      </c>
      <c r="B3" s="16"/>
      <c r="C3" s="16"/>
      <c r="D3" s="16"/>
      <c r="E3" s="16"/>
      <c r="F3" s="16"/>
      <c r="G3" s="16"/>
      <c r="H3" s="16"/>
      <c r="I3" s="16"/>
      <c r="J3" s="16"/>
      <c r="K3" s="16"/>
      <c r="L3" s="16"/>
      <c r="M3" s="16"/>
      <c r="N3" s="16"/>
      <c r="O3" s="16"/>
      <c r="P3" s="16"/>
      <c r="Q3" s="16"/>
      <c r="R3" s="16"/>
      <c r="S3" s="16"/>
      <c r="T3" s="14"/>
      <c r="U3" s="14"/>
      <c r="V3" s="18"/>
      <c r="W3" s="14"/>
      <c r="X3" s="14"/>
      <c r="Y3" s="14"/>
      <c r="Z3" s="14"/>
      <c r="AA3" s="14"/>
      <c r="AB3" s="14"/>
      <c r="AC3" s="14"/>
      <c r="AD3" s="14"/>
      <c r="AE3" s="14"/>
      <c r="AF3" s="14"/>
      <c r="AG3" s="14"/>
      <c r="AH3" s="14"/>
      <c r="AI3" s="14"/>
      <c r="AJ3" s="14"/>
      <c r="AK3" s="14"/>
      <c r="AL3" s="14"/>
      <c r="AM3" s="14"/>
      <c r="AN3" s="14"/>
      <c r="AO3" s="14"/>
      <c r="AP3" s="14"/>
      <c r="AQ3" s="14"/>
      <c r="AR3" s="18" t="s">
        <v>438</v>
      </c>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row>
    <row r="4" spans="1:76" ht="28">
      <c r="A4" s="16"/>
      <c r="B4" s="16"/>
      <c r="C4" s="16"/>
      <c r="D4" s="16"/>
      <c r="E4" s="16"/>
      <c r="F4" s="16"/>
      <c r="G4" s="16"/>
      <c r="H4" s="16"/>
      <c r="I4" s="16"/>
      <c r="J4" s="16"/>
      <c r="K4" s="16"/>
      <c r="L4" s="16"/>
      <c r="M4" s="16"/>
      <c r="N4" s="16"/>
      <c r="O4" s="16"/>
      <c r="P4" s="16"/>
      <c r="Q4" s="16"/>
      <c r="R4" s="16"/>
      <c r="S4" s="16"/>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c r="BK4" s="14"/>
      <c r="BL4" s="14"/>
      <c r="BM4" s="14"/>
      <c r="BN4" s="14"/>
      <c r="BO4" s="14"/>
      <c r="BP4" s="14"/>
      <c r="BQ4" s="14"/>
      <c r="BR4" s="14"/>
      <c r="BS4" s="14"/>
      <c r="BT4" s="14"/>
      <c r="BU4" s="14"/>
      <c r="BV4" s="14"/>
      <c r="BW4" s="14"/>
      <c r="BX4" s="14"/>
    </row>
    <row r="5" spans="1:76" ht="28">
      <c r="A5" s="16" t="s">
        <v>467</v>
      </c>
      <c r="B5" s="16"/>
      <c r="C5" s="16"/>
      <c r="D5" s="16"/>
      <c r="E5" s="16"/>
      <c r="F5" s="16"/>
      <c r="G5" s="16"/>
      <c r="H5" s="16"/>
      <c r="I5" s="16"/>
      <c r="J5" s="16"/>
      <c r="K5" s="16"/>
      <c r="L5" s="16"/>
      <c r="M5" s="16"/>
      <c r="N5" s="16"/>
      <c r="O5" s="16"/>
      <c r="P5" s="16"/>
      <c r="Q5" s="16"/>
      <c r="R5" s="16"/>
      <c r="S5" s="16"/>
      <c r="T5" s="14"/>
      <c r="U5" s="14"/>
      <c r="V5" s="14"/>
      <c r="W5" s="14"/>
      <c r="X5" s="14"/>
      <c r="Y5" s="14"/>
      <c r="Z5" s="14"/>
      <c r="AA5" s="14"/>
      <c r="AB5" s="14"/>
      <c r="AC5" s="14"/>
      <c r="AD5" s="14"/>
      <c r="AE5" s="14"/>
      <c r="AF5" s="14"/>
      <c r="AG5" s="14"/>
      <c r="AH5" s="14"/>
      <c r="AI5" s="14"/>
      <c r="AJ5" s="14"/>
      <c r="AK5" s="14"/>
      <c r="AL5" s="14"/>
      <c r="AM5" s="14"/>
      <c r="AN5" s="14"/>
      <c r="AO5" s="14"/>
      <c r="AP5" s="14"/>
      <c r="AQ5" s="14"/>
      <c r="AR5" s="14" t="s">
        <v>439</v>
      </c>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row>
    <row r="6" spans="1:76" ht="28">
      <c r="A6" s="16"/>
      <c r="B6" s="16"/>
      <c r="C6" s="16"/>
      <c r="D6" s="16"/>
      <c r="E6" s="16"/>
      <c r="F6" s="16"/>
      <c r="G6" s="16"/>
      <c r="H6" s="16"/>
      <c r="I6" s="16"/>
      <c r="J6" s="16"/>
      <c r="K6" s="16"/>
      <c r="L6" s="16"/>
      <c r="M6" s="16"/>
      <c r="N6" s="16"/>
      <c r="O6" s="16"/>
      <c r="P6" s="16"/>
      <c r="Q6" s="16"/>
      <c r="R6" s="16"/>
      <c r="S6" s="16"/>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4"/>
      <c r="BK6" s="14"/>
      <c r="BL6" s="14"/>
      <c r="BM6" s="14"/>
      <c r="BN6" s="14"/>
      <c r="BO6" s="14"/>
      <c r="BP6" s="14"/>
      <c r="BQ6" s="14"/>
      <c r="BR6" s="14"/>
      <c r="BS6" s="14"/>
      <c r="BT6" s="14"/>
      <c r="BU6" s="14"/>
      <c r="BV6" s="14"/>
      <c r="BW6" s="14"/>
      <c r="BX6" s="14"/>
    </row>
    <row r="7" spans="1:76" ht="28">
      <c r="A7" s="17" t="s">
        <v>468</v>
      </c>
      <c r="B7" s="16"/>
      <c r="C7" s="16"/>
      <c r="D7" s="16"/>
      <c r="E7" s="16"/>
      <c r="F7" s="16"/>
      <c r="G7" s="16"/>
      <c r="H7" s="16"/>
      <c r="I7" s="16"/>
      <c r="J7" s="16"/>
      <c r="K7" s="16"/>
      <c r="L7" s="16"/>
      <c r="M7" s="16"/>
      <c r="N7" s="16"/>
      <c r="O7" s="16"/>
      <c r="P7" s="16"/>
      <c r="Q7" s="16"/>
      <c r="R7" s="16"/>
      <c r="S7" s="16"/>
      <c r="T7" s="14"/>
      <c r="U7" s="14"/>
      <c r="V7" s="14"/>
      <c r="W7" s="14"/>
      <c r="X7" s="14"/>
      <c r="Y7" s="14"/>
      <c r="Z7" s="14"/>
      <c r="AA7" s="14"/>
      <c r="AB7" s="14"/>
      <c r="AC7" s="14"/>
      <c r="AD7" s="14"/>
      <c r="AE7" s="14"/>
      <c r="AF7" s="14"/>
      <c r="AG7" s="14"/>
      <c r="AH7" s="14"/>
      <c r="AI7" s="14"/>
      <c r="AJ7" s="14"/>
      <c r="AK7" s="14"/>
      <c r="AL7" s="14"/>
      <c r="AM7" s="14"/>
      <c r="AN7" s="14"/>
      <c r="AO7" s="14"/>
      <c r="AP7" s="14"/>
      <c r="AQ7" s="14"/>
      <c r="AR7" s="14" t="s">
        <v>440</v>
      </c>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row>
    <row r="8" spans="1:76" ht="28">
      <c r="A8" s="16"/>
      <c r="B8" s="16"/>
      <c r="C8" s="16"/>
      <c r="D8" s="16"/>
      <c r="E8" s="16"/>
      <c r="F8" s="16"/>
      <c r="G8" s="16"/>
      <c r="H8" s="16"/>
      <c r="I8" s="16"/>
      <c r="J8" s="16"/>
      <c r="K8" s="16"/>
      <c r="L8" s="16"/>
      <c r="M8" s="16"/>
      <c r="N8" s="16"/>
      <c r="O8" s="16"/>
      <c r="P8" s="16"/>
      <c r="Q8" s="16"/>
      <c r="R8" s="16"/>
      <c r="S8" s="16"/>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c r="BK8" s="14"/>
      <c r="BL8" s="14"/>
      <c r="BM8" s="14"/>
      <c r="BN8" s="14"/>
      <c r="BO8" s="14"/>
      <c r="BP8" s="14"/>
      <c r="BQ8" s="14"/>
      <c r="BR8" s="14"/>
      <c r="BS8" s="14"/>
      <c r="BT8" s="14"/>
      <c r="BU8" s="14"/>
      <c r="BV8" s="14"/>
      <c r="BW8" s="14"/>
      <c r="BX8" s="14"/>
    </row>
    <row r="9" spans="1:76" ht="28">
      <c r="A9" s="17" t="s">
        <v>469</v>
      </c>
      <c r="B9" s="16"/>
      <c r="C9" s="16"/>
      <c r="D9" s="16"/>
      <c r="E9" s="16"/>
      <c r="F9" s="16"/>
      <c r="G9" s="16"/>
      <c r="H9" s="16"/>
      <c r="I9" s="16"/>
      <c r="J9" s="16"/>
      <c r="K9" s="16"/>
      <c r="L9" s="16"/>
      <c r="M9" s="16"/>
      <c r="N9" s="16"/>
      <c r="O9" s="16"/>
      <c r="P9" s="16"/>
      <c r="Q9" s="16"/>
      <c r="R9" s="16"/>
      <c r="S9" s="16"/>
      <c r="T9" s="14"/>
      <c r="U9" s="14"/>
      <c r="V9" s="14"/>
      <c r="W9" s="14"/>
      <c r="X9" s="14"/>
      <c r="Y9" s="14"/>
      <c r="Z9" s="14"/>
      <c r="AA9" s="14"/>
      <c r="AB9" s="14"/>
      <c r="AC9" s="14"/>
      <c r="AD9" s="14"/>
      <c r="AE9" s="14"/>
      <c r="AF9" s="14"/>
      <c r="AG9" s="14"/>
      <c r="AH9" s="14"/>
      <c r="AI9" s="14"/>
      <c r="AJ9" s="14"/>
      <c r="AK9" s="14"/>
      <c r="AL9" s="14"/>
      <c r="AM9" s="14"/>
      <c r="AN9" s="14"/>
      <c r="AO9" s="14"/>
      <c r="AP9" s="14"/>
      <c r="AQ9" s="14"/>
      <c r="AR9" s="14" t="s">
        <v>441</v>
      </c>
      <c r="AS9" s="14"/>
      <c r="AT9" s="14"/>
      <c r="AU9" s="14"/>
      <c r="AV9" s="14"/>
      <c r="AW9" s="14"/>
      <c r="AX9" s="14"/>
      <c r="AY9" s="14"/>
      <c r="AZ9" s="14"/>
      <c r="BA9" s="14"/>
      <c r="BB9" s="14"/>
      <c r="BC9" s="14"/>
      <c r="BD9" s="14"/>
      <c r="BE9" s="14"/>
      <c r="BF9" s="14"/>
      <c r="BG9" s="14"/>
      <c r="BH9" s="14"/>
      <c r="BI9" s="14"/>
      <c r="BJ9" s="14"/>
      <c r="BK9" s="14"/>
      <c r="BL9" s="14"/>
      <c r="BM9" s="14"/>
      <c r="BN9" s="14"/>
      <c r="BO9" s="14"/>
      <c r="BP9" s="14"/>
      <c r="BQ9" s="14"/>
      <c r="BR9" s="14"/>
      <c r="BS9" s="14"/>
      <c r="BT9" s="14"/>
      <c r="BU9" s="14"/>
      <c r="BV9" s="14"/>
      <c r="BW9" s="14"/>
      <c r="BX9" s="14"/>
    </row>
    <row r="10" spans="1:76" ht="28">
      <c r="A10" s="16"/>
      <c r="B10" s="16"/>
      <c r="C10" s="16"/>
      <c r="D10" s="16"/>
      <c r="E10" s="16"/>
      <c r="F10" s="16"/>
      <c r="G10" s="16"/>
      <c r="H10" s="16"/>
      <c r="I10" s="16"/>
      <c r="J10" s="16"/>
      <c r="K10" s="16"/>
      <c r="L10" s="16"/>
      <c r="M10" s="16"/>
      <c r="N10" s="16"/>
      <c r="O10" s="16"/>
      <c r="P10" s="16"/>
      <c r="Q10" s="16"/>
      <c r="R10" s="16"/>
      <c r="S10" s="16"/>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c r="BP10" s="14"/>
      <c r="BQ10" s="14"/>
      <c r="BR10" s="14"/>
      <c r="BS10" s="14"/>
      <c r="BT10" s="14"/>
      <c r="BU10" s="14"/>
      <c r="BV10" s="14"/>
      <c r="BW10" s="14"/>
      <c r="BX10" s="14"/>
    </row>
    <row r="11" spans="1:76" ht="28">
      <c r="A11" s="16"/>
      <c r="B11" s="16"/>
      <c r="C11" s="16"/>
      <c r="D11" s="16"/>
      <c r="E11" s="16"/>
      <c r="F11" s="16"/>
      <c r="G11" s="16"/>
      <c r="H11" s="16"/>
      <c r="I11" s="16"/>
      <c r="J11" s="16"/>
      <c r="K11" s="16"/>
      <c r="L11" s="16"/>
      <c r="M11" s="16"/>
      <c r="N11" s="16"/>
      <c r="O11" s="16"/>
      <c r="P11" s="16"/>
      <c r="Q11" s="16"/>
      <c r="R11" s="16"/>
      <c r="S11" s="16"/>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t="s">
        <v>470</v>
      </c>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row>
    <row r="12" spans="1:76" ht="28">
      <c r="A12" s="16"/>
      <c r="B12" s="16"/>
      <c r="C12" s="16"/>
      <c r="D12" s="16"/>
      <c r="E12" s="16"/>
      <c r="F12" s="16"/>
      <c r="G12" s="16"/>
      <c r="H12" s="16"/>
      <c r="I12" s="16"/>
      <c r="J12" s="16"/>
      <c r="K12" s="16"/>
      <c r="L12" s="16"/>
      <c r="M12" s="16"/>
      <c r="N12" s="16"/>
      <c r="O12" s="16"/>
      <c r="P12" s="16"/>
      <c r="Q12" s="16"/>
      <c r="R12" s="16"/>
      <c r="S12" s="16"/>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c r="BW12" s="14"/>
      <c r="BX12" s="14"/>
    </row>
    <row r="13" spans="1:76" ht="28">
      <c r="A13" s="17" t="s">
        <v>426</v>
      </c>
      <c r="B13" s="16"/>
      <c r="C13" s="16"/>
      <c r="D13" s="16"/>
      <c r="E13" s="16"/>
      <c r="F13" s="16"/>
      <c r="G13" s="16"/>
      <c r="H13" s="16"/>
      <c r="I13" s="16"/>
      <c r="J13" s="16"/>
      <c r="K13" s="16"/>
      <c r="L13" s="16"/>
      <c r="M13" s="16"/>
      <c r="N13" s="16"/>
      <c r="O13" s="16"/>
      <c r="P13" s="16"/>
      <c r="Q13" s="16"/>
      <c r="R13" s="16"/>
      <c r="S13" s="16"/>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4"/>
      <c r="BQ13" s="14"/>
      <c r="BR13" s="14"/>
      <c r="BS13" s="14"/>
      <c r="BT13" s="14"/>
      <c r="BU13" s="14"/>
      <c r="BV13" s="14"/>
      <c r="BW13" s="14"/>
      <c r="BX13" s="14"/>
    </row>
    <row r="14" spans="1:76" ht="28">
      <c r="A14" s="16"/>
      <c r="B14" s="16"/>
      <c r="C14" s="16"/>
      <c r="D14" s="16"/>
      <c r="E14" s="16"/>
      <c r="F14" s="16"/>
      <c r="G14" s="16"/>
      <c r="H14" s="16"/>
      <c r="I14" s="16"/>
      <c r="J14" s="16"/>
      <c r="K14" s="16"/>
      <c r="L14" s="16"/>
      <c r="M14" s="16"/>
      <c r="N14" s="16"/>
      <c r="O14" s="16"/>
      <c r="P14" s="16"/>
      <c r="Q14" s="16"/>
      <c r="R14" s="16"/>
      <c r="S14" s="16"/>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row>
    <row r="15" spans="1:76" ht="28">
      <c r="A15" s="16" t="s">
        <v>436</v>
      </c>
      <c r="B15" s="16"/>
      <c r="C15" s="16"/>
      <c r="D15" s="16"/>
      <c r="E15" s="16"/>
      <c r="F15" s="16"/>
      <c r="G15" s="16"/>
      <c r="H15" s="16"/>
      <c r="I15" s="16"/>
      <c r="J15" s="16"/>
      <c r="K15" s="16"/>
      <c r="L15" s="16"/>
      <c r="M15" s="16"/>
      <c r="N15" s="16"/>
      <c r="O15" s="16"/>
      <c r="P15" s="16"/>
      <c r="Q15" s="16"/>
      <c r="R15" s="16"/>
      <c r="S15" s="16"/>
      <c r="T15" s="14"/>
      <c r="U15" s="14"/>
      <c r="V15" s="18"/>
      <c r="W15" s="14"/>
      <c r="X15" s="14"/>
      <c r="Y15" s="14"/>
      <c r="Z15" s="14"/>
      <c r="AA15" s="14"/>
      <c r="AB15" s="14"/>
      <c r="AC15" s="14"/>
      <c r="AD15" s="14"/>
      <c r="AE15" s="14"/>
      <c r="AF15" s="14"/>
      <c r="AG15" s="14"/>
      <c r="AH15" s="14"/>
      <c r="AI15" s="14"/>
      <c r="AJ15" s="14"/>
      <c r="AK15" s="14"/>
      <c r="AL15" s="14"/>
      <c r="AM15" s="14"/>
      <c r="AN15" s="14"/>
      <c r="AO15" s="14"/>
      <c r="AP15" s="14"/>
      <c r="AQ15" s="14"/>
      <c r="AR15" s="18" t="s">
        <v>442</v>
      </c>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row>
    <row r="16" spans="1:76" ht="28">
      <c r="A16" s="16"/>
      <c r="B16" s="16"/>
      <c r="C16" s="16"/>
      <c r="D16" s="16"/>
      <c r="E16" s="16"/>
      <c r="F16" s="16"/>
      <c r="G16" s="16"/>
      <c r="H16" s="16"/>
      <c r="I16" s="16"/>
      <c r="J16" s="16"/>
      <c r="K16" s="16"/>
      <c r="L16" s="16"/>
      <c r="M16" s="16"/>
      <c r="N16" s="16"/>
      <c r="O16" s="16"/>
      <c r="P16" s="16"/>
      <c r="Q16" s="16"/>
      <c r="R16" s="16"/>
      <c r="S16" s="16"/>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14"/>
      <c r="BR16" s="14"/>
      <c r="BS16" s="14"/>
      <c r="BT16" s="14"/>
      <c r="BU16" s="14"/>
      <c r="BV16" s="14"/>
      <c r="BW16" s="14"/>
      <c r="BX16" s="14"/>
    </row>
    <row r="17" spans="1:76" ht="28">
      <c r="A17" s="16" t="s">
        <v>427</v>
      </c>
      <c r="B17" s="16"/>
      <c r="C17" s="16"/>
      <c r="D17" s="16"/>
      <c r="E17" s="16"/>
      <c r="F17" s="16"/>
      <c r="G17" s="16"/>
      <c r="H17" s="16"/>
      <c r="I17" s="16"/>
      <c r="J17" s="16"/>
      <c r="K17" s="16"/>
      <c r="L17" s="16"/>
      <c r="M17" s="16"/>
      <c r="N17" s="16"/>
      <c r="O17" s="16"/>
      <c r="P17" s="16"/>
      <c r="Q17" s="16"/>
      <c r="R17" s="16"/>
      <c r="S17" s="16"/>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t="s">
        <v>443</v>
      </c>
      <c r="AS17" s="14"/>
      <c r="AT17" s="14"/>
      <c r="AU17" s="14"/>
      <c r="AV17" s="14"/>
      <c r="AW17" s="14"/>
      <c r="AX17" s="14"/>
      <c r="AY17" s="14"/>
      <c r="AZ17" s="14"/>
      <c r="BA17" s="14"/>
      <c r="BB17" s="14"/>
      <c r="BC17" s="14"/>
      <c r="BD17" s="14"/>
      <c r="BE17" s="14"/>
      <c r="BF17" s="14"/>
      <c r="BG17" s="14"/>
      <c r="BH17" s="14"/>
      <c r="BI17" s="14"/>
      <c r="BJ17" s="14"/>
      <c r="BK17" s="14"/>
      <c r="BL17" s="14"/>
      <c r="BM17" s="14"/>
      <c r="BN17" s="14"/>
      <c r="BO17" s="14"/>
      <c r="BP17" s="14"/>
      <c r="BQ17" s="14"/>
      <c r="BR17" s="14"/>
      <c r="BS17" s="14"/>
      <c r="BT17" s="14"/>
      <c r="BU17" s="14"/>
      <c r="BV17" s="14"/>
      <c r="BW17" s="14"/>
      <c r="BX17" s="14"/>
    </row>
    <row r="18" spans="1:76" ht="28">
      <c r="A18" s="16"/>
      <c r="B18" s="16"/>
      <c r="C18" s="16"/>
      <c r="D18" s="16"/>
      <c r="E18" s="16"/>
      <c r="F18" s="16"/>
      <c r="G18" s="16"/>
      <c r="H18" s="16"/>
      <c r="I18" s="16"/>
      <c r="J18" s="16"/>
      <c r="K18" s="16"/>
      <c r="L18" s="16"/>
      <c r="M18" s="16"/>
      <c r="N18" s="16"/>
      <c r="O18" s="16"/>
      <c r="P18" s="16"/>
      <c r="Q18" s="16"/>
      <c r="R18" s="16"/>
      <c r="S18" s="16"/>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row>
    <row r="19" spans="1:76" ht="28">
      <c r="A19" s="17" t="s">
        <v>471</v>
      </c>
      <c r="B19" s="16"/>
      <c r="C19" s="16"/>
      <c r="D19" s="16"/>
      <c r="E19" s="16"/>
      <c r="F19" s="16"/>
      <c r="G19" s="16"/>
      <c r="H19" s="16"/>
      <c r="I19" s="16"/>
      <c r="J19" s="16"/>
      <c r="K19" s="16"/>
      <c r="L19" s="16"/>
      <c r="M19" s="16"/>
      <c r="N19" s="16"/>
      <c r="O19" s="16"/>
      <c r="P19" s="16"/>
      <c r="Q19" s="16"/>
      <c r="R19" s="16"/>
      <c r="S19" s="16"/>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t="s">
        <v>444</v>
      </c>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c r="BW19" s="14"/>
      <c r="BX19" s="14"/>
    </row>
    <row r="20" spans="1:76" ht="28">
      <c r="A20" s="16"/>
      <c r="B20" s="16"/>
      <c r="C20" s="16"/>
      <c r="D20" s="16"/>
      <c r="E20" s="16"/>
      <c r="F20" s="16"/>
      <c r="G20" s="16"/>
      <c r="H20" s="16"/>
      <c r="I20" s="16"/>
      <c r="J20" s="16"/>
      <c r="K20" s="16"/>
      <c r="L20" s="16"/>
      <c r="M20" s="16"/>
      <c r="N20" s="16"/>
      <c r="O20" s="16"/>
      <c r="P20" s="16"/>
      <c r="Q20" s="16"/>
      <c r="R20" s="16"/>
      <c r="S20" s="16"/>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4"/>
      <c r="BT20" s="14"/>
      <c r="BU20" s="14"/>
      <c r="BV20" s="14"/>
      <c r="BW20" s="14"/>
      <c r="BX20" s="14"/>
    </row>
    <row r="21" spans="1:76" ht="28">
      <c r="A21" s="17" t="s">
        <v>472</v>
      </c>
      <c r="B21" s="16"/>
      <c r="C21" s="16"/>
      <c r="D21" s="16"/>
      <c r="E21" s="16"/>
      <c r="F21" s="16"/>
      <c r="G21" s="16"/>
      <c r="H21" s="16"/>
      <c r="I21" s="16"/>
      <c r="J21" s="16"/>
      <c r="K21" s="16"/>
      <c r="L21" s="16"/>
      <c r="M21" s="16"/>
      <c r="N21" s="16"/>
      <c r="O21" s="16"/>
      <c r="P21" s="16"/>
      <c r="Q21" s="16"/>
      <c r="R21" s="16"/>
      <c r="S21" s="16"/>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t="s">
        <v>445</v>
      </c>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4"/>
      <c r="BT21" s="14"/>
      <c r="BU21" s="14"/>
      <c r="BV21" s="14"/>
      <c r="BW21" s="14"/>
      <c r="BX21" s="14"/>
    </row>
    <row r="22" spans="1:76" ht="28">
      <c r="A22" s="16"/>
      <c r="B22" s="16"/>
      <c r="C22" s="16"/>
      <c r="D22" s="16"/>
      <c r="E22" s="16"/>
      <c r="F22" s="16"/>
      <c r="G22" s="16"/>
      <c r="H22" s="16"/>
      <c r="I22" s="16"/>
      <c r="J22" s="16"/>
      <c r="K22" s="16"/>
      <c r="L22" s="16"/>
      <c r="M22" s="16"/>
      <c r="N22" s="16"/>
      <c r="O22" s="16"/>
      <c r="P22" s="16"/>
      <c r="Q22" s="16"/>
      <c r="R22" s="16"/>
      <c r="S22" s="16"/>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c r="BM22" s="14"/>
      <c r="BN22" s="14"/>
      <c r="BO22" s="14"/>
      <c r="BP22" s="14"/>
      <c r="BQ22" s="14"/>
      <c r="BR22" s="14"/>
      <c r="BS22" s="14"/>
      <c r="BT22" s="14"/>
      <c r="BU22" s="14"/>
      <c r="BV22" s="14"/>
      <c r="BW22" s="14"/>
      <c r="BX22" s="14"/>
    </row>
    <row r="23" spans="1:76" ht="28">
      <c r="A23" s="16"/>
      <c r="B23" s="16"/>
      <c r="C23" s="16"/>
      <c r="D23" s="16"/>
      <c r="E23" s="16"/>
      <c r="F23" s="16"/>
      <c r="G23" s="16"/>
      <c r="H23" s="16"/>
      <c r="I23" s="16"/>
      <c r="J23" s="16"/>
      <c r="K23" s="16"/>
      <c r="L23" s="16"/>
      <c r="M23" s="16"/>
      <c r="N23" s="16"/>
      <c r="O23" s="16"/>
      <c r="P23" s="16"/>
      <c r="Q23" s="16"/>
      <c r="R23" s="16"/>
      <c r="S23" s="16"/>
      <c r="T23" s="14"/>
      <c r="U23" s="14"/>
      <c r="V23" s="18"/>
      <c r="W23" s="14"/>
      <c r="X23" s="14"/>
      <c r="Y23" s="14"/>
      <c r="Z23" s="14"/>
      <c r="AA23" s="14"/>
      <c r="AB23" s="14"/>
      <c r="AC23" s="14"/>
      <c r="AD23" s="14"/>
      <c r="AE23" s="14"/>
      <c r="AF23" s="14"/>
      <c r="AG23" s="14"/>
      <c r="AH23" s="14"/>
      <c r="AI23" s="14"/>
      <c r="AJ23" s="14"/>
      <c r="AK23" s="14"/>
      <c r="AL23" s="14"/>
      <c r="AM23" s="14"/>
      <c r="AN23" s="14"/>
      <c r="AO23" s="14"/>
      <c r="AP23" s="14"/>
      <c r="AQ23" s="14"/>
      <c r="AR23" s="18" t="s">
        <v>473</v>
      </c>
      <c r="AS23" s="14"/>
      <c r="AT23" s="14"/>
      <c r="AU23" s="14"/>
      <c r="AV23" s="14"/>
      <c r="AW23" s="14"/>
      <c r="AX23" s="14"/>
      <c r="AY23" s="14"/>
      <c r="AZ23" s="14"/>
      <c r="BA23" s="14"/>
      <c r="BB23" s="14"/>
      <c r="BC23" s="14"/>
      <c r="BD23" s="14"/>
      <c r="BE23" s="14"/>
      <c r="BF23" s="14"/>
      <c r="BG23" s="14"/>
      <c r="BH23" s="14"/>
      <c r="BI23" s="14"/>
      <c r="BJ23" s="14"/>
      <c r="BK23" s="14"/>
      <c r="BL23" s="14"/>
      <c r="BM23" s="14"/>
      <c r="BN23" s="14"/>
      <c r="BO23" s="14"/>
      <c r="BP23" s="14"/>
      <c r="BQ23" s="14"/>
      <c r="BR23" s="14"/>
      <c r="BS23" s="14"/>
      <c r="BT23" s="14"/>
      <c r="BU23" s="14"/>
      <c r="BV23" s="14"/>
      <c r="BW23" s="14"/>
      <c r="BX23" s="14"/>
    </row>
    <row r="24" spans="1:76" ht="28">
      <c r="A24" s="16"/>
      <c r="B24" s="16"/>
      <c r="C24" s="16"/>
      <c r="D24" s="16"/>
      <c r="E24" s="16"/>
      <c r="F24" s="16"/>
      <c r="G24" s="16"/>
      <c r="H24" s="16"/>
      <c r="I24" s="16"/>
      <c r="J24" s="16"/>
      <c r="K24" s="16"/>
      <c r="L24" s="16"/>
      <c r="M24" s="16"/>
      <c r="N24" s="16"/>
      <c r="O24" s="16"/>
      <c r="P24" s="16"/>
      <c r="Q24" s="16"/>
      <c r="R24" s="16"/>
      <c r="S24" s="16"/>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4"/>
      <c r="BN24" s="14"/>
      <c r="BO24" s="14"/>
      <c r="BP24" s="14"/>
      <c r="BQ24" s="14"/>
      <c r="BR24" s="14"/>
      <c r="BS24" s="14"/>
      <c r="BT24" s="14"/>
      <c r="BU24" s="14"/>
      <c r="BV24" s="14"/>
      <c r="BW24" s="14"/>
      <c r="BX24" s="14"/>
    </row>
    <row r="25" spans="1:76" ht="28">
      <c r="A25" s="17" t="s">
        <v>428</v>
      </c>
      <c r="B25" s="16"/>
      <c r="C25" s="16"/>
      <c r="D25" s="16"/>
      <c r="E25" s="16"/>
      <c r="F25" s="16"/>
      <c r="G25" s="16"/>
      <c r="H25" s="16"/>
      <c r="I25" s="16"/>
      <c r="J25" s="16"/>
      <c r="K25" s="16"/>
      <c r="L25" s="16"/>
      <c r="M25" s="16"/>
      <c r="N25" s="16"/>
      <c r="O25" s="16"/>
      <c r="P25" s="16"/>
      <c r="Q25" s="16"/>
      <c r="R25" s="16"/>
      <c r="S25" s="16"/>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c r="BN25" s="14"/>
      <c r="BO25" s="14"/>
      <c r="BP25" s="14"/>
      <c r="BQ25" s="14"/>
      <c r="BR25" s="14"/>
      <c r="BS25" s="14"/>
      <c r="BT25" s="14"/>
      <c r="BU25" s="14"/>
      <c r="BV25" s="14"/>
      <c r="BW25" s="14"/>
      <c r="BX25" s="14"/>
    </row>
    <row r="26" spans="1:76" ht="28">
      <c r="A26" s="16"/>
      <c r="B26" s="16"/>
      <c r="C26" s="16"/>
      <c r="D26" s="16"/>
      <c r="E26" s="16"/>
      <c r="F26" s="16"/>
      <c r="G26" s="16"/>
      <c r="H26" s="16"/>
      <c r="I26" s="16"/>
      <c r="J26" s="16"/>
      <c r="K26" s="16"/>
      <c r="L26" s="16"/>
      <c r="M26" s="16"/>
      <c r="N26" s="16"/>
      <c r="O26" s="16"/>
      <c r="P26" s="16"/>
      <c r="Q26" s="16"/>
      <c r="R26" s="16"/>
      <c r="S26" s="16"/>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c r="BN26" s="14"/>
      <c r="BO26" s="14"/>
      <c r="BP26" s="14"/>
      <c r="BQ26" s="14"/>
      <c r="BR26" s="14"/>
      <c r="BS26" s="14"/>
      <c r="BT26" s="14"/>
      <c r="BU26" s="14"/>
      <c r="BV26" s="14"/>
      <c r="BW26" s="14"/>
      <c r="BX26" s="14"/>
    </row>
    <row r="27" spans="1:76" ht="28">
      <c r="A27" s="16" t="s">
        <v>474</v>
      </c>
      <c r="B27" s="16"/>
      <c r="C27" s="16"/>
      <c r="D27" s="16"/>
      <c r="E27" s="16"/>
      <c r="F27" s="16"/>
      <c r="G27" s="16"/>
      <c r="H27" s="16"/>
      <c r="I27" s="16"/>
      <c r="J27" s="16"/>
      <c r="K27" s="16"/>
      <c r="L27" s="16"/>
      <c r="M27" s="16"/>
      <c r="N27" s="16"/>
      <c r="O27" s="16"/>
      <c r="P27" s="16"/>
      <c r="Q27" s="16"/>
      <c r="R27" s="16"/>
      <c r="S27" s="16"/>
      <c r="T27" s="14"/>
      <c r="U27" s="14"/>
      <c r="V27" s="18"/>
      <c r="W27" s="14"/>
      <c r="X27" s="14"/>
      <c r="Y27" s="14"/>
      <c r="Z27" s="14"/>
      <c r="AA27" s="14"/>
      <c r="AB27" s="14"/>
      <c r="AC27" s="14"/>
      <c r="AD27" s="14"/>
      <c r="AE27" s="14"/>
      <c r="AF27" s="14"/>
      <c r="AG27" s="14"/>
      <c r="AH27" s="14"/>
      <c r="AI27" s="14"/>
      <c r="AJ27" s="14"/>
      <c r="AK27" s="14"/>
      <c r="AL27" s="14"/>
      <c r="AM27" s="14"/>
      <c r="AN27" s="14"/>
      <c r="AO27" s="14"/>
      <c r="AP27" s="14"/>
      <c r="AQ27" s="14"/>
      <c r="AR27" s="18" t="s">
        <v>446</v>
      </c>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R27" s="14"/>
      <c r="BS27" s="14"/>
      <c r="BT27" s="14"/>
      <c r="BU27" s="14"/>
      <c r="BV27" s="14"/>
      <c r="BW27" s="14"/>
      <c r="BX27" s="14"/>
    </row>
    <row r="28" spans="1:76" ht="28">
      <c r="A28" s="16"/>
      <c r="B28" s="16"/>
      <c r="C28" s="16"/>
      <c r="D28" s="16"/>
      <c r="E28" s="16"/>
      <c r="F28" s="16"/>
      <c r="G28" s="16"/>
      <c r="H28" s="16"/>
      <c r="I28" s="16"/>
      <c r="J28" s="16"/>
      <c r="K28" s="16"/>
      <c r="L28" s="16"/>
      <c r="M28" s="16"/>
      <c r="N28" s="16"/>
      <c r="O28" s="16"/>
      <c r="P28" s="16"/>
      <c r="Q28" s="16"/>
      <c r="R28" s="16"/>
      <c r="S28" s="16"/>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R28" s="14"/>
      <c r="BS28" s="14"/>
      <c r="BT28" s="14"/>
      <c r="BU28" s="14"/>
      <c r="BV28" s="14"/>
      <c r="BW28" s="14"/>
      <c r="BX28" s="14"/>
    </row>
    <row r="29" spans="1:76" ht="28">
      <c r="A29" s="17" t="s">
        <v>475</v>
      </c>
      <c r="B29" s="16"/>
      <c r="C29" s="16"/>
      <c r="D29" s="16"/>
      <c r="E29" s="16"/>
      <c r="F29" s="16"/>
      <c r="G29" s="16"/>
      <c r="H29" s="16"/>
      <c r="I29" s="16"/>
      <c r="J29" s="16"/>
      <c r="K29" s="16"/>
      <c r="L29" s="16"/>
      <c r="M29" s="16"/>
      <c r="N29" s="16"/>
      <c r="O29" s="16"/>
      <c r="P29" s="16"/>
      <c r="Q29" s="16"/>
      <c r="R29" s="16"/>
      <c r="S29" s="16"/>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t="s">
        <v>476</v>
      </c>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R29" s="14"/>
      <c r="BS29" s="14"/>
      <c r="BT29" s="14"/>
      <c r="BU29" s="14"/>
      <c r="BV29" s="14"/>
      <c r="BW29" s="14"/>
      <c r="BX29" s="14"/>
    </row>
    <row r="30" spans="1:76" ht="28">
      <c r="A30" s="16"/>
      <c r="B30" s="16"/>
      <c r="C30" s="16"/>
      <c r="D30" s="16"/>
      <c r="E30" s="16"/>
      <c r="F30" s="16"/>
      <c r="G30" s="16"/>
      <c r="H30" s="16"/>
      <c r="I30" s="16"/>
      <c r="J30" s="16"/>
      <c r="K30" s="16"/>
      <c r="L30" s="16"/>
      <c r="M30" s="16"/>
      <c r="N30" s="16"/>
      <c r="O30" s="16"/>
      <c r="P30" s="16"/>
      <c r="Q30" s="16"/>
      <c r="R30" s="16"/>
      <c r="S30" s="16"/>
      <c r="T30" s="14"/>
      <c r="U30" s="14"/>
      <c r="V30" s="19"/>
      <c r="W30" s="14"/>
      <c r="X30" s="14"/>
      <c r="Y30" s="14"/>
      <c r="Z30" s="14"/>
      <c r="AA30" s="14"/>
      <c r="AB30" s="14"/>
      <c r="AC30" s="14"/>
      <c r="AD30" s="14"/>
      <c r="AE30" s="14"/>
      <c r="AF30" s="14"/>
      <c r="AG30" s="14"/>
      <c r="AH30" s="14"/>
      <c r="AI30" s="14"/>
      <c r="AJ30" s="14"/>
      <c r="AK30" s="14"/>
      <c r="AL30" s="14"/>
      <c r="AM30" s="14"/>
      <c r="AN30" s="14"/>
      <c r="AO30" s="14"/>
      <c r="AP30" s="14"/>
      <c r="AQ30" s="14"/>
      <c r="AR30" s="19"/>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14"/>
      <c r="BR30" s="14"/>
      <c r="BS30" s="14"/>
      <c r="BT30" s="14"/>
      <c r="BU30" s="14"/>
      <c r="BV30" s="14"/>
      <c r="BW30" s="14"/>
      <c r="BX30" s="14"/>
    </row>
    <row r="31" spans="1:76" ht="28">
      <c r="A31" s="17" t="s">
        <v>477</v>
      </c>
      <c r="B31" s="16"/>
      <c r="C31" s="16"/>
      <c r="D31" s="16"/>
      <c r="E31" s="16"/>
      <c r="F31" s="16"/>
      <c r="G31" s="16"/>
      <c r="H31" s="16"/>
      <c r="I31" s="16"/>
      <c r="J31" s="16"/>
      <c r="K31" s="16"/>
      <c r="L31" s="16"/>
      <c r="M31" s="16"/>
      <c r="N31" s="16"/>
      <c r="O31" s="16"/>
      <c r="P31" s="16"/>
      <c r="Q31" s="16"/>
      <c r="R31" s="16"/>
      <c r="S31" s="16"/>
      <c r="T31" s="14"/>
      <c r="U31" s="14"/>
      <c r="V31" s="20"/>
      <c r="W31" s="14"/>
      <c r="X31" s="14"/>
      <c r="Y31" s="14"/>
      <c r="Z31" s="14"/>
      <c r="AA31" s="14"/>
      <c r="AB31" s="14"/>
      <c r="AC31" s="14"/>
      <c r="AD31" s="14"/>
      <c r="AE31" s="14"/>
      <c r="AF31" s="14"/>
      <c r="AG31" s="14"/>
      <c r="AH31" s="14"/>
      <c r="AI31" s="14"/>
      <c r="AJ31" s="14"/>
      <c r="AK31" s="14"/>
      <c r="AL31" s="14"/>
      <c r="AM31" s="14"/>
      <c r="AN31" s="14"/>
      <c r="AO31" s="14"/>
      <c r="AP31" s="14"/>
      <c r="AQ31" s="14"/>
      <c r="AR31" s="20" t="s">
        <v>447</v>
      </c>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14"/>
      <c r="BR31" s="14"/>
      <c r="BS31" s="14"/>
      <c r="BT31" s="14"/>
      <c r="BU31" s="14"/>
      <c r="BV31" s="14"/>
      <c r="BW31" s="14"/>
      <c r="BX31" s="14"/>
    </row>
    <row r="32" spans="1:76" ht="28">
      <c r="A32" s="16"/>
      <c r="B32" s="16"/>
      <c r="C32" s="16"/>
      <c r="D32" s="16"/>
      <c r="E32" s="16"/>
      <c r="F32" s="16"/>
      <c r="G32" s="16"/>
      <c r="H32" s="16"/>
      <c r="I32" s="16"/>
      <c r="J32" s="16"/>
      <c r="K32" s="16"/>
      <c r="L32" s="16"/>
      <c r="M32" s="16"/>
      <c r="N32" s="16"/>
      <c r="O32" s="16"/>
      <c r="P32" s="16"/>
      <c r="Q32" s="16"/>
      <c r="R32" s="16"/>
      <c r="S32" s="16"/>
      <c r="T32" s="14"/>
      <c r="U32" s="14"/>
      <c r="V32" s="20"/>
      <c r="W32" s="14"/>
      <c r="X32" s="14"/>
      <c r="Y32" s="14"/>
      <c r="Z32" s="14"/>
      <c r="AA32" s="14"/>
      <c r="AB32" s="14"/>
      <c r="AC32" s="14"/>
      <c r="AD32" s="14"/>
      <c r="AE32" s="14"/>
      <c r="AF32" s="14"/>
      <c r="AG32" s="14"/>
      <c r="AH32" s="14"/>
      <c r="AI32" s="14"/>
      <c r="AJ32" s="14"/>
      <c r="AK32" s="14"/>
      <c r="AL32" s="14"/>
      <c r="AM32" s="14"/>
      <c r="AN32" s="14"/>
      <c r="AO32" s="14"/>
      <c r="AP32" s="14"/>
      <c r="AQ32" s="14"/>
      <c r="AR32" s="20" t="s">
        <v>478</v>
      </c>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14"/>
      <c r="BR32" s="14"/>
      <c r="BS32" s="14"/>
      <c r="BT32" s="14"/>
      <c r="BU32" s="14"/>
      <c r="BV32" s="14"/>
      <c r="BW32" s="14"/>
      <c r="BX32" s="14"/>
    </row>
    <row r="33" spans="1:76" ht="28">
      <c r="A33" s="16"/>
      <c r="B33" s="16"/>
      <c r="C33" s="16"/>
      <c r="D33" s="16"/>
      <c r="E33" s="16"/>
      <c r="F33" s="16"/>
      <c r="G33" s="16"/>
      <c r="H33" s="16"/>
      <c r="I33" s="16"/>
      <c r="J33" s="16"/>
      <c r="K33" s="16"/>
      <c r="L33" s="16"/>
      <c r="M33" s="16"/>
      <c r="N33" s="16"/>
      <c r="O33" s="16"/>
      <c r="P33" s="16"/>
      <c r="Q33" s="16"/>
      <c r="R33" s="16"/>
      <c r="S33" s="16"/>
      <c r="T33" s="14"/>
      <c r="U33" s="14"/>
      <c r="V33" s="20"/>
      <c r="W33" s="14"/>
      <c r="X33" s="14"/>
      <c r="Y33" s="14"/>
      <c r="Z33" s="14"/>
      <c r="AA33" s="14"/>
      <c r="AB33" s="14"/>
      <c r="AC33" s="14"/>
      <c r="AD33" s="14"/>
      <c r="AE33" s="14"/>
      <c r="AF33" s="14"/>
      <c r="AG33" s="14"/>
      <c r="AH33" s="14"/>
      <c r="AI33" s="14"/>
      <c r="AJ33" s="14"/>
      <c r="AK33" s="14"/>
      <c r="AL33" s="14"/>
      <c r="AM33" s="14"/>
      <c r="AN33" s="14"/>
      <c r="AO33" s="14"/>
      <c r="AP33" s="14"/>
      <c r="AQ33" s="14"/>
      <c r="AR33" s="20" t="s">
        <v>16</v>
      </c>
      <c r="AS33" s="14"/>
      <c r="AT33" s="14"/>
      <c r="AU33" s="14"/>
      <c r="AV33" s="14"/>
      <c r="AW33" s="14"/>
      <c r="AX33" s="14"/>
      <c r="AY33" s="14"/>
      <c r="AZ33" s="14"/>
      <c r="BA33" s="14"/>
      <c r="BB33" s="14"/>
      <c r="BC33" s="14"/>
      <c r="BD33" s="14"/>
      <c r="BE33" s="14"/>
      <c r="BF33" s="14"/>
      <c r="BG33" s="14"/>
      <c r="BH33" s="14"/>
      <c r="BI33" s="14"/>
      <c r="BJ33" s="14"/>
      <c r="BK33" s="14"/>
      <c r="BL33" s="14"/>
      <c r="BM33" s="14"/>
      <c r="BN33" s="14"/>
      <c r="BO33" s="14"/>
      <c r="BP33" s="14"/>
      <c r="BQ33" s="14"/>
      <c r="BR33" s="14"/>
      <c r="BS33" s="14"/>
      <c r="BT33" s="14"/>
      <c r="BU33" s="14"/>
      <c r="BV33" s="14"/>
      <c r="BW33" s="14"/>
      <c r="BX33" s="14"/>
    </row>
    <row r="34" spans="1:76" ht="28">
      <c r="A34" s="16"/>
      <c r="B34" s="16"/>
      <c r="C34" s="16"/>
      <c r="D34" s="16"/>
      <c r="E34" s="16"/>
      <c r="F34" s="16"/>
      <c r="G34" s="16"/>
      <c r="H34" s="16"/>
      <c r="I34" s="16"/>
      <c r="J34" s="16"/>
      <c r="K34" s="16"/>
      <c r="L34" s="16"/>
      <c r="M34" s="16"/>
      <c r="N34" s="16"/>
      <c r="O34" s="16"/>
      <c r="P34" s="16"/>
      <c r="Q34" s="16"/>
      <c r="R34" s="16"/>
      <c r="S34" s="16"/>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c r="BK34" s="14"/>
      <c r="BL34" s="14"/>
      <c r="BM34" s="14"/>
      <c r="BN34" s="14"/>
      <c r="BO34" s="14"/>
      <c r="BP34" s="14"/>
      <c r="BQ34" s="14"/>
      <c r="BR34" s="14"/>
      <c r="BS34" s="14"/>
      <c r="BT34" s="14"/>
      <c r="BU34" s="14"/>
      <c r="BV34" s="14"/>
      <c r="BW34" s="14"/>
      <c r="BX34" s="14"/>
    </row>
    <row r="35" spans="1:76" ht="28">
      <c r="A35" s="17" t="s">
        <v>429</v>
      </c>
      <c r="B35" s="16"/>
      <c r="C35" s="16"/>
      <c r="D35" s="16"/>
      <c r="E35" s="16"/>
      <c r="F35" s="16"/>
      <c r="G35" s="16"/>
      <c r="H35" s="16"/>
      <c r="I35" s="16"/>
      <c r="J35" s="16"/>
      <c r="K35" s="16"/>
      <c r="L35" s="16"/>
      <c r="M35" s="16"/>
      <c r="N35" s="16"/>
      <c r="O35" s="16"/>
      <c r="P35" s="16"/>
      <c r="Q35" s="16"/>
      <c r="R35" s="16"/>
      <c r="S35" s="16"/>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t="s">
        <v>448</v>
      </c>
      <c r="AS35" s="14"/>
      <c r="AT35" s="14"/>
      <c r="AU35" s="14"/>
      <c r="AV35" s="14"/>
      <c r="AW35" s="14"/>
      <c r="AX35" s="14"/>
      <c r="AY35" s="14"/>
      <c r="AZ35" s="14"/>
      <c r="BA35" s="14"/>
      <c r="BB35" s="14"/>
      <c r="BC35" s="14"/>
      <c r="BD35" s="14"/>
      <c r="BE35" s="14"/>
      <c r="BF35" s="14"/>
      <c r="BG35" s="14"/>
      <c r="BH35" s="14"/>
      <c r="BI35" s="14"/>
      <c r="BJ35" s="14"/>
      <c r="BK35" s="14"/>
      <c r="BL35" s="14"/>
      <c r="BM35" s="14"/>
      <c r="BN35" s="14"/>
      <c r="BO35" s="14"/>
      <c r="BP35" s="14"/>
      <c r="BQ35" s="14"/>
      <c r="BR35" s="14"/>
      <c r="BS35" s="14"/>
      <c r="BT35" s="14"/>
      <c r="BU35" s="14"/>
      <c r="BV35" s="14"/>
      <c r="BW35" s="14"/>
      <c r="BX35" s="14"/>
    </row>
    <row r="36" spans="1:76" ht="28">
      <c r="A36" s="16"/>
      <c r="B36" s="16"/>
      <c r="C36" s="16"/>
      <c r="D36" s="16"/>
      <c r="E36" s="16"/>
      <c r="F36" s="16"/>
      <c r="G36" s="16"/>
      <c r="H36" s="16"/>
      <c r="I36" s="16"/>
      <c r="J36" s="16"/>
      <c r="K36" s="16"/>
      <c r="L36" s="16"/>
      <c r="M36" s="16"/>
      <c r="N36" s="16"/>
      <c r="O36" s="16"/>
      <c r="P36" s="16"/>
      <c r="Q36" s="16"/>
      <c r="R36" s="16"/>
      <c r="S36" s="16"/>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c r="BE36" s="14"/>
      <c r="BF36" s="14"/>
      <c r="BG36" s="14"/>
      <c r="BH36" s="14"/>
      <c r="BI36" s="14"/>
      <c r="BJ36" s="14"/>
      <c r="BK36" s="14"/>
      <c r="BL36" s="14"/>
      <c r="BM36" s="14"/>
      <c r="BN36" s="14"/>
      <c r="BO36" s="14"/>
      <c r="BP36" s="14"/>
      <c r="BQ36" s="14"/>
      <c r="BR36" s="14"/>
      <c r="BS36" s="14"/>
      <c r="BT36" s="14"/>
      <c r="BU36" s="14"/>
      <c r="BV36" s="14"/>
      <c r="BW36" s="14"/>
      <c r="BX36" s="14"/>
    </row>
    <row r="37" spans="1:76" ht="28">
      <c r="A37" s="16" t="s">
        <v>479</v>
      </c>
      <c r="B37" s="16"/>
      <c r="C37" s="16"/>
      <c r="D37" s="16"/>
      <c r="E37" s="16"/>
      <c r="F37" s="16"/>
      <c r="G37" s="16"/>
      <c r="H37" s="16"/>
      <c r="I37" s="16"/>
      <c r="J37" s="16"/>
      <c r="K37" s="16"/>
      <c r="L37" s="16"/>
      <c r="M37" s="16"/>
      <c r="N37" s="16"/>
      <c r="O37" s="16"/>
      <c r="P37" s="16"/>
      <c r="Q37" s="16"/>
      <c r="R37" s="16"/>
      <c r="S37" s="16"/>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c r="BE37" s="14"/>
      <c r="BF37" s="14"/>
      <c r="BG37" s="14"/>
      <c r="BH37" s="14"/>
      <c r="BI37" s="14"/>
      <c r="BJ37" s="14"/>
      <c r="BK37" s="14"/>
      <c r="BL37" s="14"/>
      <c r="BM37" s="14"/>
      <c r="BN37" s="14"/>
      <c r="BO37" s="14"/>
      <c r="BP37" s="14"/>
      <c r="BQ37" s="14"/>
      <c r="BR37" s="14"/>
      <c r="BS37" s="14"/>
      <c r="BT37" s="14"/>
      <c r="BU37" s="14"/>
      <c r="BV37" s="14"/>
      <c r="BW37" s="14"/>
      <c r="BX37" s="14"/>
    </row>
    <row r="38" spans="1:76" ht="28">
      <c r="A38" s="16"/>
      <c r="B38" s="16"/>
      <c r="C38" s="16"/>
      <c r="D38" s="16"/>
      <c r="E38" s="16"/>
      <c r="F38" s="16"/>
      <c r="G38" s="16"/>
      <c r="H38" s="16"/>
      <c r="I38" s="16"/>
      <c r="J38" s="16"/>
      <c r="K38" s="16"/>
      <c r="L38" s="16"/>
      <c r="M38" s="16"/>
      <c r="N38" s="16"/>
      <c r="O38" s="16"/>
      <c r="P38" s="16"/>
      <c r="Q38" s="16"/>
      <c r="R38" s="16"/>
      <c r="S38" s="16"/>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c r="BF38" s="14"/>
      <c r="BG38" s="14"/>
      <c r="BH38" s="14"/>
      <c r="BI38" s="14"/>
      <c r="BJ38" s="14"/>
      <c r="BK38" s="14"/>
      <c r="BL38" s="14"/>
      <c r="BM38" s="14"/>
      <c r="BN38" s="14"/>
      <c r="BO38" s="14"/>
      <c r="BP38" s="14"/>
      <c r="BQ38" s="14"/>
      <c r="BR38" s="14"/>
      <c r="BS38" s="14"/>
      <c r="BT38" s="14"/>
      <c r="BU38" s="14"/>
      <c r="BV38" s="14"/>
      <c r="BW38" s="14"/>
      <c r="BX38" s="14"/>
    </row>
    <row r="39" spans="1:76" ht="28">
      <c r="A39" s="17" t="s">
        <v>480</v>
      </c>
      <c r="B39" s="16"/>
      <c r="C39" s="16"/>
      <c r="D39" s="16"/>
      <c r="E39" s="16"/>
      <c r="F39" s="16"/>
      <c r="G39" s="16"/>
      <c r="H39" s="16"/>
      <c r="I39" s="16"/>
      <c r="J39" s="16"/>
      <c r="K39" s="16"/>
      <c r="L39" s="16"/>
      <c r="M39" s="16"/>
      <c r="N39" s="16"/>
      <c r="O39" s="16"/>
      <c r="P39" s="16"/>
      <c r="Q39" s="16"/>
      <c r="R39" s="16"/>
      <c r="S39" s="16"/>
      <c r="T39" s="14"/>
      <c r="U39" s="14"/>
      <c r="V39" s="18"/>
      <c r="W39" s="14"/>
      <c r="X39" s="14"/>
      <c r="Y39" s="14"/>
      <c r="Z39" s="14"/>
      <c r="AA39" s="14"/>
      <c r="AB39" s="14"/>
      <c r="AC39" s="14"/>
      <c r="AD39" s="14"/>
      <c r="AE39" s="14"/>
      <c r="AF39" s="14"/>
      <c r="AG39" s="14"/>
      <c r="AH39" s="14"/>
      <c r="AI39" s="14"/>
      <c r="AJ39" s="14"/>
      <c r="AK39" s="14"/>
      <c r="AL39" s="14"/>
      <c r="AM39" s="14"/>
      <c r="AN39" s="14"/>
      <c r="AO39" s="14"/>
      <c r="AP39" s="14"/>
      <c r="AQ39" s="14"/>
      <c r="AR39" s="18" t="s">
        <v>449</v>
      </c>
      <c r="AS39" s="14"/>
      <c r="AT39" s="14"/>
      <c r="AU39" s="14"/>
      <c r="AV39" s="14"/>
      <c r="AW39" s="14"/>
      <c r="AX39" s="14"/>
      <c r="AY39" s="14"/>
      <c r="AZ39" s="14"/>
      <c r="BA39" s="14"/>
      <c r="BB39" s="14"/>
      <c r="BC39" s="14"/>
      <c r="BD39" s="14"/>
      <c r="BE39" s="14"/>
      <c r="BF39" s="14"/>
      <c r="BG39" s="14"/>
      <c r="BH39" s="14"/>
      <c r="BI39" s="14"/>
      <c r="BJ39" s="14"/>
      <c r="BK39" s="14"/>
      <c r="BL39" s="14"/>
      <c r="BM39" s="14"/>
      <c r="BN39" s="14"/>
      <c r="BO39" s="14"/>
      <c r="BP39" s="14"/>
      <c r="BQ39" s="14"/>
      <c r="BR39" s="14"/>
      <c r="BS39" s="14"/>
      <c r="BT39" s="14"/>
      <c r="BU39" s="14"/>
      <c r="BV39" s="14"/>
      <c r="BW39" s="14"/>
      <c r="BX39" s="14"/>
    </row>
    <row r="40" spans="1:76" ht="28">
      <c r="A40" s="16"/>
      <c r="B40" s="16"/>
      <c r="C40" s="16"/>
      <c r="D40" s="16"/>
      <c r="E40" s="16"/>
      <c r="F40" s="16"/>
      <c r="G40" s="16"/>
      <c r="H40" s="16"/>
      <c r="I40" s="16"/>
      <c r="J40" s="16"/>
      <c r="K40" s="16"/>
      <c r="L40" s="16"/>
      <c r="M40" s="16"/>
      <c r="N40" s="16"/>
      <c r="O40" s="16"/>
      <c r="P40" s="16"/>
      <c r="Q40" s="16"/>
      <c r="R40" s="16"/>
      <c r="S40" s="16"/>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c r="BJ40" s="14"/>
      <c r="BK40" s="14"/>
      <c r="BL40" s="14"/>
      <c r="BM40" s="14"/>
      <c r="BN40" s="14"/>
      <c r="BO40" s="14"/>
      <c r="BP40" s="14"/>
      <c r="BQ40" s="14"/>
      <c r="BR40" s="14"/>
      <c r="BS40" s="14"/>
      <c r="BT40" s="14"/>
      <c r="BU40" s="14"/>
      <c r="BV40" s="14"/>
      <c r="BW40" s="14"/>
      <c r="BX40" s="14"/>
    </row>
    <row r="41" spans="1:76" ht="28">
      <c r="A41" s="17" t="s">
        <v>481</v>
      </c>
      <c r="B41" s="16"/>
      <c r="C41" s="16"/>
      <c r="D41" s="16"/>
      <c r="E41" s="16"/>
      <c r="F41" s="16"/>
      <c r="G41" s="16"/>
      <c r="H41" s="16"/>
      <c r="I41" s="16"/>
      <c r="J41" s="16"/>
      <c r="K41" s="16"/>
      <c r="L41" s="16"/>
      <c r="M41" s="16"/>
      <c r="N41" s="16"/>
      <c r="O41" s="16"/>
      <c r="P41" s="16"/>
      <c r="Q41" s="16"/>
      <c r="R41" s="16"/>
      <c r="S41" s="16"/>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t="s">
        <v>450</v>
      </c>
      <c r="AS41" s="14"/>
      <c r="AT41" s="14"/>
      <c r="AU41" s="14"/>
      <c r="AV41" s="14"/>
      <c r="AW41" s="14"/>
      <c r="AX41" s="14"/>
      <c r="AY41" s="14"/>
      <c r="AZ41" s="14"/>
      <c r="BA41" s="14"/>
      <c r="BB41" s="14"/>
      <c r="BC41" s="14"/>
      <c r="BD41" s="14"/>
      <c r="BE41" s="14"/>
      <c r="BF41" s="14"/>
      <c r="BG41" s="14"/>
      <c r="BH41" s="14"/>
      <c r="BI41" s="14"/>
      <c r="BJ41" s="14"/>
      <c r="BK41" s="14"/>
      <c r="BL41" s="14"/>
      <c r="BM41" s="14"/>
      <c r="BN41" s="14"/>
      <c r="BO41" s="14"/>
      <c r="BP41" s="14"/>
      <c r="BQ41" s="14"/>
      <c r="BR41" s="14"/>
      <c r="BS41" s="14"/>
      <c r="BT41" s="14"/>
      <c r="BU41" s="14"/>
      <c r="BV41" s="14"/>
      <c r="BW41" s="14"/>
      <c r="BX41" s="14"/>
    </row>
    <row r="42" spans="1:76" ht="28">
      <c r="A42" s="16"/>
      <c r="B42" s="16"/>
      <c r="C42" s="16"/>
      <c r="D42" s="16"/>
      <c r="E42" s="16"/>
      <c r="F42" s="16"/>
      <c r="G42" s="16"/>
      <c r="H42" s="16"/>
      <c r="I42" s="16"/>
      <c r="J42" s="16"/>
      <c r="K42" s="16"/>
      <c r="L42" s="16"/>
      <c r="M42" s="16"/>
      <c r="N42" s="16"/>
      <c r="O42" s="16"/>
      <c r="P42" s="16"/>
      <c r="Q42" s="16"/>
      <c r="R42" s="16"/>
      <c r="S42" s="16"/>
      <c r="T42" s="14"/>
      <c r="U42" s="14"/>
      <c r="V42" s="19"/>
      <c r="W42" s="14"/>
      <c r="X42" s="14"/>
      <c r="Y42" s="14"/>
      <c r="Z42" s="14"/>
      <c r="AA42" s="14"/>
      <c r="AB42" s="14"/>
      <c r="AC42" s="14"/>
      <c r="AD42" s="14"/>
      <c r="AE42" s="14"/>
      <c r="AF42" s="14"/>
      <c r="AG42" s="14"/>
      <c r="AH42" s="14"/>
      <c r="AI42" s="14"/>
      <c r="AJ42" s="14"/>
      <c r="AK42" s="14"/>
      <c r="AL42" s="14"/>
      <c r="AM42" s="14"/>
      <c r="AN42" s="14"/>
      <c r="AO42" s="14"/>
      <c r="AP42" s="14"/>
      <c r="AQ42" s="14"/>
      <c r="AR42" s="19"/>
      <c r="AS42" s="14"/>
      <c r="AT42" s="14"/>
      <c r="AU42" s="14"/>
      <c r="AV42" s="14"/>
      <c r="AW42" s="14"/>
      <c r="AX42" s="14"/>
      <c r="AY42" s="14"/>
      <c r="AZ42" s="14"/>
      <c r="BA42" s="14"/>
      <c r="BB42" s="14"/>
      <c r="BC42" s="14"/>
      <c r="BD42" s="14"/>
      <c r="BE42" s="14"/>
      <c r="BF42" s="14"/>
      <c r="BG42" s="14"/>
      <c r="BH42" s="14"/>
      <c r="BI42" s="14"/>
      <c r="BJ42" s="14"/>
      <c r="BK42" s="14"/>
      <c r="BL42" s="14"/>
      <c r="BM42" s="14"/>
      <c r="BN42" s="14"/>
      <c r="BO42" s="14"/>
      <c r="BP42" s="14"/>
      <c r="BQ42" s="14"/>
      <c r="BR42" s="14"/>
      <c r="BS42" s="14"/>
      <c r="BT42" s="14"/>
      <c r="BU42" s="14"/>
      <c r="BV42" s="14"/>
      <c r="BW42" s="14"/>
      <c r="BX42" s="14"/>
    </row>
    <row r="43" spans="1:76" ht="28">
      <c r="A43" s="16"/>
      <c r="B43" s="16"/>
      <c r="C43" s="16"/>
      <c r="D43" s="16"/>
      <c r="E43" s="16"/>
      <c r="F43" s="16"/>
      <c r="G43" s="16"/>
      <c r="H43" s="16"/>
      <c r="I43" s="16"/>
      <c r="J43" s="16"/>
      <c r="K43" s="16"/>
      <c r="L43" s="16"/>
      <c r="M43" s="16"/>
      <c r="N43" s="16"/>
      <c r="O43" s="16"/>
      <c r="P43" s="16"/>
      <c r="Q43" s="16"/>
      <c r="R43" s="16"/>
      <c r="S43" s="16"/>
      <c r="T43" s="14"/>
      <c r="U43" s="14"/>
      <c r="V43" s="19"/>
      <c r="W43" s="14"/>
      <c r="X43" s="14"/>
      <c r="Y43" s="14"/>
      <c r="Z43" s="14"/>
      <c r="AA43" s="14"/>
      <c r="AB43" s="14"/>
      <c r="AC43" s="14"/>
      <c r="AD43" s="14"/>
      <c r="AE43" s="14"/>
      <c r="AF43" s="14"/>
      <c r="AG43" s="14"/>
      <c r="AH43" s="14"/>
      <c r="AI43" s="14"/>
      <c r="AJ43" s="14"/>
      <c r="AK43" s="14"/>
      <c r="AL43" s="14"/>
      <c r="AM43" s="14"/>
      <c r="AN43" s="14"/>
      <c r="AO43" s="14"/>
      <c r="AP43" s="14"/>
      <c r="AQ43" s="14"/>
      <c r="AR43" s="19" t="s">
        <v>451</v>
      </c>
      <c r="AS43" s="14"/>
      <c r="AT43" s="14"/>
      <c r="AU43" s="14"/>
      <c r="AV43" s="14"/>
      <c r="AW43" s="14"/>
      <c r="AX43" s="14"/>
      <c r="AY43" s="14"/>
      <c r="AZ43" s="14"/>
      <c r="BA43" s="14"/>
      <c r="BB43" s="14"/>
      <c r="BC43" s="14"/>
      <c r="BD43" s="14"/>
      <c r="BE43" s="14"/>
      <c r="BF43" s="14"/>
      <c r="BG43" s="14"/>
      <c r="BH43" s="14"/>
      <c r="BI43" s="14"/>
      <c r="BJ43" s="14"/>
      <c r="BK43" s="14"/>
      <c r="BL43" s="14"/>
      <c r="BM43" s="14"/>
      <c r="BN43" s="14"/>
      <c r="BO43" s="14"/>
      <c r="BP43" s="14"/>
      <c r="BQ43" s="14"/>
      <c r="BR43" s="14"/>
      <c r="BS43" s="14"/>
      <c r="BT43" s="14"/>
      <c r="BU43" s="14"/>
      <c r="BV43" s="14"/>
      <c r="BW43" s="14"/>
      <c r="BX43" s="14"/>
    </row>
    <row r="44" spans="1:76" ht="28">
      <c r="A44" s="16"/>
      <c r="B44" s="16"/>
      <c r="C44" s="16"/>
      <c r="D44" s="16"/>
      <c r="E44" s="16"/>
      <c r="F44" s="16"/>
      <c r="G44" s="16"/>
      <c r="H44" s="16"/>
      <c r="I44" s="16"/>
      <c r="J44" s="16"/>
      <c r="K44" s="16"/>
      <c r="L44" s="16"/>
      <c r="M44" s="16"/>
      <c r="N44" s="16"/>
      <c r="O44" s="16"/>
      <c r="P44" s="16"/>
      <c r="Q44" s="16"/>
      <c r="R44" s="16"/>
      <c r="S44" s="16"/>
      <c r="T44" s="14"/>
      <c r="U44" s="14"/>
      <c r="V44" s="19"/>
      <c r="W44" s="14"/>
      <c r="X44" s="14"/>
      <c r="Y44" s="14"/>
      <c r="Z44" s="14"/>
      <c r="AA44" s="14"/>
      <c r="AB44" s="14"/>
      <c r="AC44" s="14"/>
      <c r="AD44" s="14"/>
      <c r="AE44" s="14"/>
      <c r="AF44" s="14"/>
      <c r="AG44" s="14"/>
      <c r="AH44" s="14"/>
      <c r="AI44" s="14"/>
      <c r="AJ44" s="14"/>
      <c r="AK44" s="14"/>
      <c r="AL44" s="14"/>
      <c r="AM44" s="14"/>
      <c r="AN44" s="14"/>
      <c r="AO44" s="14"/>
      <c r="AP44" s="14"/>
      <c r="AQ44" s="14"/>
      <c r="AR44" s="19" t="s">
        <v>452</v>
      </c>
      <c r="AS44" s="14"/>
      <c r="AT44" s="14"/>
      <c r="AU44" s="14"/>
      <c r="AV44" s="14"/>
      <c r="AW44" s="14"/>
      <c r="AX44" s="14"/>
      <c r="AY44" s="14"/>
      <c r="AZ44" s="14"/>
      <c r="BA44" s="14"/>
      <c r="BB44" s="14"/>
      <c r="BC44" s="14"/>
      <c r="BD44" s="14"/>
      <c r="BE44" s="14"/>
      <c r="BF44" s="14"/>
      <c r="BG44" s="14"/>
      <c r="BH44" s="14"/>
      <c r="BI44" s="14"/>
      <c r="BJ44" s="14"/>
      <c r="BK44" s="14"/>
      <c r="BL44" s="14"/>
      <c r="BM44" s="14"/>
      <c r="BN44" s="14"/>
      <c r="BO44" s="14"/>
      <c r="BP44" s="14"/>
      <c r="BQ44" s="14"/>
      <c r="BR44" s="14"/>
      <c r="BS44" s="14"/>
      <c r="BT44" s="14"/>
      <c r="BU44" s="14"/>
      <c r="BV44" s="14"/>
      <c r="BW44" s="14"/>
      <c r="BX44" s="14"/>
    </row>
    <row r="45" spans="1:76" ht="28">
      <c r="A45" s="17" t="s">
        <v>430</v>
      </c>
      <c r="B45" s="16"/>
      <c r="C45" s="16"/>
      <c r="D45" s="16"/>
      <c r="E45" s="16"/>
      <c r="F45" s="16"/>
      <c r="G45" s="16"/>
      <c r="H45" s="16"/>
      <c r="I45" s="16"/>
      <c r="J45" s="16"/>
      <c r="K45" s="16"/>
      <c r="L45" s="16"/>
      <c r="M45" s="16"/>
      <c r="N45" s="16"/>
      <c r="O45" s="16"/>
      <c r="P45" s="16"/>
      <c r="Q45" s="16"/>
      <c r="R45" s="16"/>
      <c r="S45" s="16"/>
      <c r="T45" s="14"/>
      <c r="U45" s="14"/>
      <c r="V45" s="19"/>
      <c r="W45" s="14"/>
      <c r="X45" s="14"/>
      <c r="Y45" s="14"/>
      <c r="Z45" s="14"/>
      <c r="AA45" s="14"/>
      <c r="AB45" s="14"/>
      <c r="AC45" s="14"/>
      <c r="AD45" s="14"/>
      <c r="AE45" s="14"/>
      <c r="AF45" s="14"/>
      <c r="AG45" s="14"/>
      <c r="AH45" s="14"/>
      <c r="AI45" s="14"/>
      <c r="AJ45" s="14"/>
      <c r="AK45" s="14"/>
      <c r="AL45" s="14"/>
      <c r="AM45" s="14"/>
      <c r="AN45" s="14"/>
      <c r="AO45" s="14"/>
      <c r="AP45" s="14"/>
      <c r="AQ45" s="14"/>
      <c r="AR45" s="19" t="s">
        <v>453</v>
      </c>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row>
    <row r="46" spans="1:76" ht="28">
      <c r="A46" s="16"/>
      <c r="B46" s="16"/>
      <c r="C46" s="16"/>
      <c r="D46" s="16"/>
      <c r="E46" s="16"/>
      <c r="F46" s="16"/>
      <c r="G46" s="16"/>
      <c r="H46" s="16"/>
      <c r="I46" s="16"/>
      <c r="J46" s="16"/>
      <c r="K46" s="16"/>
      <c r="L46" s="16"/>
      <c r="M46" s="16"/>
      <c r="N46" s="16"/>
      <c r="O46" s="16"/>
      <c r="P46" s="16"/>
      <c r="Q46" s="16"/>
      <c r="R46" s="16"/>
      <c r="S46" s="16"/>
      <c r="T46" s="14"/>
      <c r="U46" s="14"/>
      <c r="V46" s="19"/>
      <c r="W46" s="14"/>
      <c r="X46" s="14"/>
      <c r="Y46" s="14"/>
      <c r="Z46" s="14"/>
      <c r="AA46" s="14"/>
      <c r="AB46" s="14"/>
      <c r="AC46" s="14"/>
      <c r="AD46" s="14"/>
      <c r="AE46" s="14"/>
      <c r="AF46" s="14"/>
      <c r="AG46" s="14"/>
      <c r="AH46" s="14"/>
      <c r="AI46" s="14"/>
      <c r="AJ46" s="14"/>
      <c r="AK46" s="14"/>
      <c r="AL46" s="14"/>
      <c r="AM46" s="14"/>
      <c r="AN46" s="14"/>
      <c r="AO46" s="14"/>
      <c r="AP46" s="14"/>
      <c r="AQ46" s="14"/>
      <c r="AR46" s="19" t="s">
        <v>454</v>
      </c>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c r="BQ46" s="14"/>
      <c r="BR46" s="14"/>
      <c r="BS46" s="14"/>
      <c r="BT46" s="14"/>
      <c r="BU46" s="14"/>
      <c r="BV46" s="14"/>
      <c r="BW46" s="14"/>
      <c r="BX46" s="14"/>
    </row>
    <row r="47" spans="1:76" ht="28">
      <c r="A47" s="16" t="s">
        <v>431</v>
      </c>
      <c r="B47" s="16"/>
      <c r="C47" s="16"/>
      <c r="D47" s="16"/>
      <c r="E47" s="16"/>
      <c r="F47" s="16"/>
      <c r="G47" s="16"/>
      <c r="H47" s="16"/>
      <c r="I47" s="16"/>
      <c r="J47" s="16"/>
      <c r="K47" s="16"/>
      <c r="L47" s="16"/>
      <c r="M47" s="16"/>
      <c r="N47" s="16"/>
      <c r="O47" s="16"/>
      <c r="P47" s="16"/>
      <c r="Q47" s="16"/>
      <c r="R47" s="16"/>
      <c r="S47" s="16"/>
      <c r="T47" s="14"/>
      <c r="U47" s="14"/>
      <c r="V47" s="19"/>
      <c r="W47" s="14"/>
      <c r="X47" s="14"/>
      <c r="Y47" s="14"/>
      <c r="Z47" s="14"/>
      <c r="AA47" s="14"/>
      <c r="AB47" s="14"/>
      <c r="AC47" s="14"/>
      <c r="AD47" s="14"/>
      <c r="AE47" s="14"/>
      <c r="AF47" s="14"/>
      <c r="AG47" s="14"/>
      <c r="AH47" s="14"/>
      <c r="AI47" s="14"/>
      <c r="AJ47" s="14"/>
      <c r="AK47" s="14"/>
      <c r="AL47" s="14"/>
      <c r="AM47" s="14"/>
      <c r="AN47" s="14"/>
      <c r="AO47" s="14"/>
      <c r="AP47" s="14"/>
      <c r="AQ47" s="14"/>
      <c r="AR47" s="19" t="s">
        <v>455</v>
      </c>
      <c r="AS47" s="14"/>
      <c r="AT47" s="14"/>
      <c r="AU47" s="14"/>
      <c r="AV47" s="14"/>
      <c r="AW47" s="14"/>
      <c r="AX47" s="14"/>
      <c r="AY47" s="14"/>
      <c r="AZ47" s="14"/>
      <c r="BA47" s="14"/>
      <c r="BB47" s="14"/>
      <c r="BC47" s="14"/>
      <c r="BD47" s="14"/>
      <c r="BE47" s="14"/>
      <c r="BF47" s="14"/>
      <c r="BG47" s="14"/>
      <c r="BH47" s="14"/>
      <c r="BI47" s="14"/>
      <c r="BJ47" s="14"/>
      <c r="BK47" s="14"/>
      <c r="BL47" s="14"/>
      <c r="BM47" s="14"/>
      <c r="BN47" s="14"/>
      <c r="BO47" s="14"/>
      <c r="BP47" s="14"/>
      <c r="BQ47" s="14"/>
      <c r="BR47" s="14"/>
      <c r="BS47" s="14"/>
      <c r="BT47" s="14"/>
      <c r="BU47" s="14"/>
      <c r="BV47" s="14"/>
      <c r="BW47" s="14"/>
      <c r="BX47" s="14"/>
    </row>
    <row r="48" spans="1:76" ht="28">
      <c r="A48" s="21"/>
      <c r="B48" s="16"/>
      <c r="C48" s="16"/>
      <c r="D48" s="16"/>
      <c r="E48" s="16"/>
      <c r="F48" s="16"/>
      <c r="G48" s="16"/>
      <c r="H48" s="16"/>
      <c r="I48" s="16"/>
      <c r="J48" s="16"/>
      <c r="K48" s="16"/>
      <c r="L48" s="16"/>
      <c r="M48" s="16"/>
      <c r="N48" s="16"/>
      <c r="O48" s="16"/>
      <c r="P48" s="16"/>
      <c r="Q48" s="16"/>
      <c r="R48" s="16"/>
      <c r="S48" s="16"/>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row>
    <row r="49" spans="1:76" ht="28">
      <c r="A49" s="22" t="s">
        <v>432</v>
      </c>
      <c r="B49" s="16"/>
      <c r="C49" s="16"/>
      <c r="D49" s="16"/>
      <c r="E49" s="16"/>
      <c r="F49" s="16"/>
      <c r="G49" s="16"/>
      <c r="H49" s="16"/>
      <c r="I49" s="16"/>
      <c r="J49" s="16"/>
      <c r="K49" s="16"/>
      <c r="L49" s="16"/>
      <c r="M49" s="16"/>
      <c r="N49" s="16"/>
      <c r="O49" s="16"/>
      <c r="P49" s="16"/>
      <c r="Q49" s="16"/>
      <c r="R49" s="16"/>
      <c r="S49" s="16"/>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t="s">
        <v>456</v>
      </c>
      <c r="AS49" s="14"/>
      <c r="AT49" s="14"/>
      <c r="AU49" s="14"/>
      <c r="AV49" s="14"/>
      <c r="AW49" s="14"/>
      <c r="AX49" s="14"/>
      <c r="AY49" s="14"/>
      <c r="AZ49" s="14"/>
      <c r="BA49" s="14"/>
      <c r="BB49" s="14"/>
      <c r="BC49" s="14"/>
      <c r="BD49" s="14"/>
      <c r="BE49" s="14"/>
      <c r="BF49" s="14"/>
      <c r="BG49" s="14"/>
      <c r="BH49" s="14"/>
      <c r="BI49" s="14"/>
      <c r="BJ49" s="14"/>
      <c r="BK49" s="14"/>
      <c r="BL49" s="14"/>
      <c r="BM49" s="14"/>
      <c r="BN49" s="14"/>
      <c r="BO49" s="14"/>
      <c r="BP49" s="14"/>
      <c r="BQ49" s="14"/>
      <c r="BR49" s="14"/>
      <c r="BS49" s="14"/>
      <c r="BT49" s="14"/>
      <c r="BU49" s="14"/>
      <c r="BV49" s="14"/>
      <c r="BW49" s="14"/>
      <c r="BX49" s="14"/>
    </row>
    <row r="50" spans="1:76" ht="28">
      <c r="A50" s="22" t="s">
        <v>433</v>
      </c>
      <c r="B50" s="16"/>
      <c r="C50" s="16"/>
      <c r="D50" s="16"/>
      <c r="E50" s="16"/>
      <c r="F50" s="16"/>
      <c r="G50" s="16"/>
      <c r="H50" s="16"/>
      <c r="I50" s="16"/>
      <c r="J50" s="16"/>
      <c r="K50" s="16"/>
      <c r="L50" s="16"/>
      <c r="M50" s="16"/>
      <c r="N50" s="16"/>
      <c r="O50" s="16"/>
      <c r="P50" s="16"/>
      <c r="Q50" s="16"/>
      <c r="R50" s="16"/>
      <c r="S50" s="16"/>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row>
    <row r="51" spans="1:76" ht="28">
      <c r="A51" s="22" t="s">
        <v>434</v>
      </c>
      <c r="B51" s="16"/>
      <c r="C51" s="16"/>
      <c r="D51" s="16"/>
      <c r="E51" s="16"/>
      <c r="F51" s="16"/>
      <c r="G51" s="16"/>
      <c r="H51" s="16"/>
      <c r="I51" s="16"/>
      <c r="J51" s="16"/>
      <c r="K51" s="16"/>
      <c r="L51" s="16"/>
      <c r="M51" s="16"/>
      <c r="N51" s="16"/>
      <c r="O51" s="16"/>
      <c r="P51" s="16"/>
      <c r="Q51" s="16"/>
      <c r="R51" s="16"/>
      <c r="S51" s="16"/>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c r="BP51" s="14"/>
      <c r="BQ51" s="14"/>
      <c r="BR51" s="14"/>
      <c r="BS51" s="14"/>
      <c r="BT51" s="14"/>
      <c r="BU51" s="14"/>
      <c r="BV51" s="14"/>
      <c r="BW51" s="14"/>
      <c r="BX51" s="14"/>
    </row>
    <row r="52" spans="1:76" ht="28">
      <c r="A52" s="16"/>
      <c r="B52" s="16"/>
      <c r="C52" s="16"/>
      <c r="D52" s="16"/>
      <c r="E52" s="16"/>
      <c r="F52" s="16"/>
      <c r="G52" s="16"/>
      <c r="H52" s="16"/>
      <c r="I52" s="16"/>
      <c r="J52" s="16"/>
      <c r="K52" s="16"/>
      <c r="L52" s="16"/>
      <c r="M52" s="16"/>
      <c r="N52" s="16"/>
      <c r="O52" s="16"/>
      <c r="P52" s="16"/>
      <c r="Q52" s="16"/>
      <c r="R52" s="16"/>
      <c r="S52" s="16"/>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I52" s="14"/>
      <c r="BJ52" s="14"/>
      <c r="BK52" s="14"/>
      <c r="BL52" s="14"/>
      <c r="BM52" s="14"/>
      <c r="BN52" s="14"/>
      <c r="BO52" s="14"/>
      <c r="BP52" s="14"/>
      <c r="BQ52" s="14"/>
      <c r="BR52" s="14"/>
      <c r="BS52" s="14"/>
      <c r="BT52" s="14"/>
      <c r="BU52" s="14"/>
      <c r="BV52" s="14"/>
      <c r="BW52" s="14"/>
      <c r="BX52" s="14"/>
    </row>
    <row r="53" spans="1:76" ht="28">
      <c r="A53" s="17" t="s">
        <v>482</v>
      </c>
      <c r="B53" s="16"/>
      <c r="C53" s="16"/>
      <c r="D53" s="16"/>
      <c r="E53" s="16"/>
      <c r="F53" s="16"/>
      <c r="G53" s="16"/>
      <c r="H53" s="16"/>
      <c r="I53" s="16"/>
      <c r="J53" s="16"/>
      <c r="K53" s="16"/>
      <c r="L53" s="16"/>
      <c r="M53" s="16"/>
      <c r="N53" s="16"/>
      <c r="O53" s="16"/>
      <c r="P53" s="16"/>
      <c r="Q53" s="16"/>
      <c r="R53" s="16"/>
      <c r="S53" s="16"/>
      <c r="T53" s="14"/>
      <c r="U53" s="14"/>
      <c r="V53" s="18"/>
      <c r="W53" s="14"/>
      <c r="X53" s="14"/>
      <c r="Y53" s="14"/>
      <c r="Z53" s="14"/>
      <c r="AA53" s="14"/>
      <c r="AB53" s="14"/>
      <c r="AC53" s="14"/>
      <c r="AD53" s="14"/>
      <c r="AE53" s="14"/>
      <c r="AF53" s="14"/>
      <c r="AG53" s="14"/>
      <c r="AH53" s="14"/>
      <c r="AI53" s="14"/>
      <c r="AJ53" s="14"/>
      <c r="AK53" s="14"/>
      <c r="AL53" s="14"/>
      <c r="AM53" s="14"/>
      <c r="AN53" s="14"/>
      <c r="AO53" s="14"/>
      <c r="AP53" s="14"/>
      <c r="AQ53" s="14"/>
      <c r="AR53" s="18" t="s">
        <v>457</v>
      </c>
      <c r="AS53" s="14"/>
      <c r="AT53" s="14"/>
      <c r="AU53" s="14"/>
      <c r="AV53" s="14"/>
      <c r="AW53" s="14"/>
      <c r="AX53" s="14"/>
      <c r="AY53" s="14"/>
      <c r="AZ53" s="14"/>
      <c r="BA53" s="14"/>
      <c r="BB53" s="14"/>
      <c r="BC53" s="14"/>
      <c r="BD53" s="14"/>
      <c r="BE53" s="14"/>
      <c r="BF53" s="14"/>
      <c r="BG53" s="14"/>
      <c r="BH53" s="14"/>
      <c r="BI53" s="14"/>
      <c r="BJ53" s="14"/>
      <c r="BK53" s="14"/>
      <c r="BL53" s="14"/>
      <c r="BM53" s="14"/>
      <c r="BN53" s="14"/>
      <c r="BO53" s="14"/>
      <c r="BP53" s="14"/>
      <c r="BQ53" s="14"/>
      <c r="BR53" s="14"/>
      <c r="BS53" s="14"/>
      <c r="BT53" s="14"/>
      <c r="BU53" s="14"/>
      <c r="BV53" s="14"/>
      <c r="BW53" s="14"/>
      <c r="BX53" s="14"/>
    </row>
    <row r="54" spans="1:76" ht="28">
      <c r="A54" s="16"/>
      <c r="B54" s="16"/>
      <c r="C54" s="16"/>
      <c r="D54" s="16"/>
      <c r="E54" s="16"/>
      <c r="F54" s="16"/>
      <c r="G54" s="16"/>
      <c r="H54" s="16"/>
      <c r="I54" s="16"/>
      <c r="J54" s="16"/>
      <c r="K54" s="16"/>
      <c r="L54" s="16"/>
      <c r="M54" s="16"/>
      <c r="N54" s="16"/>
      <c r="O54" s="16"/>
      <c r="P54" s="16"/>
      <c r="Q54" s="16"/>
      <c r="R54" s="16"/>
      <c r="S54" s="16"/>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14"/>
      <c r="BJ54" s="14"/>
      <c r="BK54" s="14"/>
      <c r="BL54" s="14"/>
      <c r="BM54" s="14"/>
      <c r="BN54" s="14"/>
      <c r="BO54" s="14"/>
      <c r="BP54" s="14"/>
      <c r="BQ54" s="14"/>
      <c r="BR54" s="14"/>
      <c r="BS54" s="14"/>
      <c r="BT54" s="14"/>
      <c r="BU54" s="14"/>
      <c r="BV54" s="14"/>
      <c r="BW54" s="14"/>
      <c r="BX54" s="14"/>
    </row>
    <row r="55" spans="1:76" ht="28">
      <c r="A55" s="17" t="s">
        <v>483</v>
      </c>
      <c r="B55" s="16"/>
      <c r="C55" s="16"/>
      <c r="D55" s="16"/>
      <c r="E55" s="16"/>
      <c r="F55" s="16"/>
      <c r="G55" s="16"/>
      <c r="H55" s="16"/>
      <c r="I55" s="16"/>
      <c r="J55" s="16"/>
      <c r="K55" s="16"/>
      <c r="L55" s="16"/>
      <c r="M55" s="16"/>
      <c r="N55" s="16"/>
      <c r="O55" s="16"/>
      <c r="P55" s="16"/>
      <c r="Q55" s="16"/>
      <c r="R55" s="16"/>
      <c r="S55" s="16"/>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t="s">
        <v>458</v>
      </c>
      <c r="AS55" s="14"/>
      <c r="AT55" s="14"/>
      <c r="AU55" s="14"/>
      <c r="AV55" s="14"/>
      <c r="AW55" s="14"/>
      <c r="AX55" s="14"/>
      <c r="AY55" s="14"/>
      <c r="AZ55" s="14"/>
      <c r="BA55" s="14"/>
      <c r="BB55" s="14"/>
      <c r="BC55" s="14"/>
      <c r="BD55" s="14"/>
      <c r="BE55" s="14"/>
      <c r="BF55" s="14"/>
      <c r="BG55" s="14"/>
      <c r="BH55" s="14"/>
      <c r="BI55" s="14"/>
      <c r="BJ55" s="14"/>
      <c r="BK55" s="14"/>
      <c r="BL55" s="14"/>
      <c r="BM55" s="14"/>
      <c r="BN55" s="14"/>
      <c r="BO55" s="14"/>
      <c r="BP55" s="14"/>
      <c r="BQ55" s="14"/>
      <c r="BR55" s="14"/>
      <c r="BS55" s="14"/>
      <c r="BT55" s="14"/>
      <c r="BU55" s="14"/>
      <c r="BV55" s="14"/>
      <c r="BW55" s="14"/>
      <c r="BX55" s="14"/>
    </row>
    <row r="56" spans="1:76" ht="28">
      <c r="A56" s="16"/>
      <c r="B56" s="16"/>
      <c r="C56" s="16"/>
      <c r="D56" s="16"/>
      <c r="E56" s="16"/>
      <c r="F56" s="16"/>
      <c r="G56" s="16"/>
      <c r="H56" s="16"/>
      <c r="I56" s="16"/>
      <c r="J56" s="16"/>
      <c r="K56" s="16"/>
      <c r="L56" s="16"/>
      <c r="M56" s="16"/>
      <c r="N56" s="16"/>
      <c r="O56" s="16"/>
      <c r="P56" s="16"/>
      <c r="Q56" s="16"/>
      <c r="R56" s="16"/>
      <c r="S56" s="16"/>
      <c r="T56" s="14"/>
      <c r="U56" s="14"/>
      <c r="V56" s="19"/>
      <c r="W56" s="14"/>
      <c r="X56" s="14"/>
      <c r="Y56" s="14"/>
      <c r="Z56" s="14"/>
      <c r="AA56" s="14"/>
      <c r="AB56" s="14"/>
      <c r="AC56" s="14"/>
      <c r="AD56" s="14"/>
      <c r="AE56" s="14"/>
      <c r="AF56" s="14"/>
      <c r="AG56" s="14"/>
      <c r="AH56" s="14"/>
      <c r="AI56" s="14"/>
      <c r="AJ56" s="14"/>
      <c r="AK56" s="14"/>
      <c r="AL56" s="14"/>
      <c r="AM56" s="14"/>
      <c r="AN56" s="14"/>
      <c r="AO56" s="14"/>
      <c r="AP56" s="14"/>
      <c r="AQ56" s="14"/>
      <c r="AR56" s="19"/>
      <c r="AS56" s="14"/>
      <c r="AT56" s="14"/>
      <c r="AU56" s="14"/>
      <c r="AV56" s="14"/>
      <c r="AW56" s="14"/>
      <c r="AX56" s="14"/>
      <c r="AY56" s="14"/>
      <c r="AZ56" s="14"/>
      <c r="BA56" s="14"/>
      <c r="BB56" s="14"/>
      <c r="BC56" s="14"/>
      <c r="BD56" s="14"/>
      <c r="BE56" s="14"/>
      <c r="BF56" s="14"/>
      <c r="BG56" s="14"/>
      <c r="BH56" s="14"/>
      <c r="BI56" s="14"/>
      <c r="BJ56" s="14"/>
      <c r="BK56" s="14"/>
      <c r="BL56" s="14"/>
      <c r="BM56" s="14"/>
      <c r="BN56" s="14"/>
      <c r="BO56" s="14"/>
      <c r="BP56" s="14"/>
      <c r="BQ56" s="14"/>
      <c r="BR56" s="14"/>
      <c r="BS56" s="14"/>
      <c r="BT56" s="14"/>
      <c r="BU56" s="14"/>
      <c r="BV56" s="14"/>
      <c r="BW56" s="14"/>
      <c r="BX56" s="14"/>
    </row>
    <row r="57" spans="1:76" ht="28">
      <c r="A57" s="16"/>
      <c r="B57" s="16"/>
      <c r="C57" s="16"/>
      <c r="D57" s="16"/>
      <c r="E57" s="16"/>
      <c r="F57" s="16"/>
      <c r="G57" s="16"/>
      <c r="H57" s="16"/>
      <c r="I57" s="16"/>
      <c r="J57" s="16"/>
      <c r="K57" s="16"/>
      <c r="L57" s="16"/>
      <c r="M57" s="16"/>
      <c r="N57" s="16"/>
      <c r="O57" s="16"/>
      <c r="P57" s="16"/>
      <c r="Q57" s="16"/>
      <c r="R57" s="16"/>
      <c r="S57" s="16"/>
      <c r="T57" s="14"/>
      <c r="U57" s="14"/>
      <c r="V57" s="23"/>
      <c r="W57" s="14"/>
      <c r="X57" s="14"/>
      <c r="Y57" s="14"/>
      <c r="Z57" s="14"/>
      <c r="AA57" s="14"/>
      <c r="AB57" s="14"/>
      <c r="AC57" s="14"/>
      <c r="AD57" s="14"/>
      <c r="AE57" s="14"/>
      <c r="AF57" s="14"/>
      <c r="AG57" s="14"/>
      <c r="AH57" s="14"/>
      <c r="AI57" s="14"/>
      <c r="AJ57" s="14"/>
      <c r="AK57" s="14"/>
      <c r="AL57" s="14"/>
      <c r="AM57" s="14"/>
      <c r="AN57" s="14"/>
      <c r="AO57" s="14"/>
      <c r="AP57" s="14"/>
      <c r="AQ57" s="14"/>
      <c r="AR57" s="23" t="s">
        <v>459</v>
      </c>
      <c r="AS57" s="14"/>
      <c r="AT57" s="14"/>
      <c r="AU57" s="14"/>
      <c r="AV57" s="14"/>
      <c r="AW57" s="14"/>
      <c r="AX57" s="14"/>
      <c r="AY57" s="14"/>
      <c r="AZ57" s="14"/>
      <c r="BA57" s="14"/>
      <c r="BB57" s="14"/>
      <c r="BC57" s="14"/>
      <c r="BD57" s="14"/>
      <c r="BE57" s="14"/>
      <c r="BF57" s="14"/>
      <c r="BG57" s="14"/>
      <c r="BH57" s="14"/>
      <c r="BI57" s="14"/>
      <c r="BJ57" s="14"/>
      <c r="BK57" s="14"/>
      <c r="BL57" s="14"/>
      <c r="BM57" s="14"/>
      <c r="BN57" s="14"/>
      <c r="BO57" s="14"/>
      <c r="BP57" s="14"/>
      <c r="BQ57" s="14"/>
      <c r="BR57" s="14"/>
      <c r="BS57" s="14"/>
      <c r="BT57" s="14"/>
      <c r="BU57" s="14"/>
      <c r="BV57" s="14"/>
      <c r="BW57" s="14"/>
      <c r="BX57" s="14"/>
    </row>
    <row r="58" spans="1:76" ht="28">
      <c r="A58" s="16"/>
      <c r="B58" s="16"/>
      <c r="C58" s="16"/>
      <c r="D58" s="16"/>
      <c r="E58" s="16"/>
      <c r="F58" s="16"/>
      <c r="G58" s="16"/>
      <c r="H58" s="16"/>
      <c r="I58" s="16"/>
      <c r="J58" s="16"/>
      <c r="K58" s="16"/>
      <c r="L58" s="16"/>
      <c r="M58" s="16"/>
      <c r="N58" s="16"/>
      <c r="O58" s="16"/>
      <c r="P58" s="16"/>
      <c r="Q58" s="16"/>
      <c r="R58" s="16"/>
      <c r="S58" s="16"/>
      <c r="T58" s="14"/>
      <c r="U58" s="14"/>
      <c r="V58" s="23"/>
      <c r="W58" s="14"/>
      <c r="X58" s="14"/>
      <c r="Y58" s="14"/>
      <c r="Z58" s="14"/>
      <c r="AA58" s="14"/>
      <c r="AB58" s="14"/>
      <c r="AC58" s="14"/>
      <c r="AD58" s="14"/>
      <c r="AE58" s="14"/>
      <c r="AF58" s="14"/>
      <c r="AG58" s="14"/>
      <c r="AH58" s="14"/>
      <c r="AI58" s="14"/>
      <c r="AJ58" s="14"/>
      <c r="AK58" s="14"/>
      <c r="AL58" s="14"/>
      <c r="AM58" s="14"/>
      <c r="AN58" s="14"/>
      <c r="AO58" s="14"/>
      <c r="AP58" s="14"/>
      <c r="AQ58" s="14"/>
      <c r="AR58" s="23" t="s">
        <v>460</v>
      </c>
      <c r="AS58" s="14"/>
      <c r="AT58" s="14"/>
      <c r="AU58" s="14"/>
      <c r="AV58" s="14"/>
      <c r="AW58" s="14"/>
      <c r="AX58" s="14"/>
      <c r="AY58" s="14"/>
      <c r="AZ58" s="14"/>
      <c r="BA58" s="14"/>
      <c r="BB58" s="14"/>
      <c r="BC58" s="14"/>
      <c r="BD58" s="14"/>
      <c r="BE58" s="14"/>
      <c r="BF58" s="14"/>
      <c r="BG58" s="14"/>
      <c r="BH58" s="14"/>
      <c r="BI58" s="14"/>
      <c r="BJ58" s="14"/>
      <c r="BK58" s="14"/>
      <c r="BL58" s="14"/>
      <c r="BM58" s="14"/>
      <c r="BN58" s="14"/>
      <c r="BO58" s="14"/>
      <c r="BP58" s="14"/>
      <c r="BQ58" s="14"/>
      <c r="BR58" s="14"/>
      <c r="BS58" s="14"/>
      <c r="BT58" s="14"/>
      <c r="BU58" s="14"/>
      <c r="BV58" s="14"/>
      <c r="BW58" s="14"/>
      <c r="BX58" s="14"/>
    </row>
    <row r="59" spans="1:76" ht="28">
      <c r="A59" s="17" t="s">
        <v>435</v>
      </c>
      <c r="B59" s="16"/>
      <c r="C59" s="16"/>
      <c r="D59" s="16"/>
      <c r="E59" s="16"/>
      <c r="F59" s="16"/>
      <c r="G59" s="16"/>
      <c r="H59" s="16"/>
      <c r="I59" s="16"/>
      <c r="J59" s="16"/>
      <c r="K59" s="16"/>
      <c r="L59" s="16"/>
      <c r="M59" s="16"/>
      <c r="N59" s="16"/>
      <c r="O59" s="16"/>
      <c r="P59" s="16"/>
      <c r="Q59" s="16"/>
      <c r="R59" s="16"/>
      <c r="S59" s="16"/>
      <c r="T59" s="14"/>
      <c r="U59" s="14"/>
      <c r="V59" s="23"/>
      <c r="W59" s="14"/>
      <c r="X59" s="14"/>
      <c r="Y59" s="14"/>
      <c r="Z59" s="14"/>
      <c r="AA59" s="14"/>
      <c r="AB59" s="14"/>
      <c r="AC59" s="14"/>
      <c r="AD59" s="14"/>
      <c r="AE59" s="14"/>
      <c r="AF59" s="14"/>
      <c r="AG59" s="14"/>
      <c r="AH59" s="14"/>
      <c r="AI59" s="14"/>
      <c r="AJ59" s="14"/>
      <c r="AK59" s="14"/>
      <c r="AL59" s="14"/>
      <c r="AM59" s="14"/>
      <c r="AN59" s="14"/>
      <c r="AO59" s="14"/>
      <c r="AP59" s="14"/>
      <c r="AQ59" s="14"/>
      <c r="AR59" s="23" t="s">
        <v>461</v>
      </c>
      <c r="AS59" s="14"/>
      <c r="AT59" s="14"/>
      <c r="AU59" s="14"/>
      <c r="AV59" s="14"/>
      <c r="AW59" s="14"/>
      <c r="AX59" s="14"/>
      <c r="AY59" s="14"/>
      <c r="AZ59" s="14"/>
      <c r="BA59" s="14"/>
      <c r="BB59" s="14"/>
      <c r="BC59" s="14"/>
      <c r="BD59" s="14"/>
      <c r="BE59" s="14"/>
      <c r="BF59" s="14"/>
      <c r="BG59" s="14"/>
      <c r="BH59" s="14"/>
      <c r="BI59" s="14"/>
      <c r="BJ59" s="14"/>
      <c r="BK59" s="14"/>
      <c r="BL59" s="14"/>
      <c r="BM59" s="14"/>
      <c r="BN59" s="14"/>
      <c r="BO59" s="14"/>
      <c r="BP59" s="14"/>
      <c r="BQ59" s="14"/>
      <c r="BR59" s="14"/>
      <c r="BS59" s="14"/>
      <c r="BT59" s="14"/>
      <c r="BU59" s="14"/>
      <c r="BV59" s="14"/>
      <c r="BW59" s="14"/>
      <c r="BX59" s="14"/>
    </row>
    <row r="60" spans="1:76" ht="28">
      <c r="A60" s="16"/>
      <c r="B60" s="16"/>
      <c r="C60" s="16"/>
      <c r="D60" s="16"/>
      <c r="E60" s="16"/>
      <c r="F60" s="16"/>
      <c r="G60" s="16"/>
      <c r="H60" s="16"/>
      <c r="I60" s="16"/>
      <c r="J60" s="16"/>
      <c r="K60" s="16"/>
      <c r="L60" s="16"/>
      <c r="M60" s="16"/>
      <c r="N60" s="16"/>
      <c r="O60" s="16"/>
      <c r="P60" s="16"/>
      <c r="Q60" s="16"/>
      <c r="R60" s="16"/>
      <c r="S60" s="16"/>
      <c r="T60" s="14"/>
      <c r="U60" s="14"/>
      <c r="V60" s="23"/>
      <c r="W60" s="14"/>
      <c r="X60" s="14"/>
      <c r="Y60" s="14"/>
      <c r="Z60" s="14"/>
      <c r="AA60" s="14"/>
      <c r="AB60" s="14"/>
      <c r="AC60" s="14"/>
      <c r="AD60" s="14"/>
      <c r="AE60" s="14"/>
      <c r="AF60" s="14"/>
      <c r="AG60" s="14"/>
      <c r="AH60" s="14"/>
      <c r="AI60" s="14"/>
      <c r="AJ60" s="14"/>
      <c r="AK60" s="14"/>
      <c r="AL60" s="14"/>
      <c r="AM60" s="14"/>
      <c r="AN60" s="14"/>
      <c r="AO60" s="14"/>
      <c r="AP60" s="14"/>
      <c r="AQ60" s="14"/>
      <c r="AR60" s="23" t="s">
        <v>462</v>
      </c>
      <c r="AS60" s="14"/>
      <c r="AT60" s="14"/>
      <c r="AU60" s="14"/>
      <c r="AV60" s="14"/>
      <c r="AW60" s="14"/>
      <c r="AX60" s="14"/>
      <c r="AY60" s="14"/>
      <c r="AZ60" s="14"/>
      <c r="BA60" s="14"/>
      <c r="BB60" s="14"/>
      <c r="BC60" s="14"/>
      <c r="BD60" s="14"/>
      <c r="BE60" s="14"/>
      <c r="BF60" s="14"/>
      <c r="BG60" s="14"/>
      <c r="BH60" s="14"/>
      <c r="BI60" s="14"/>
      <c r="BJ60" s="14"/>
      <c r="BK60" s="14"/>
      <c r="BL60" s="14"/>
      <c r="BM60" s="14"/>
      <c r="BN60" s="14"/>
      <c r="BO60" s="14"/>
      <c r="BP60" s="14"/>
      <c r="BQ60" s="14"/>
      <c r="BR60" s="14"/>
      <c r="BS60" s="14"/>
      <c r="BT60" s="14"/>
      <c r="BU60" s="14"/>
      <c r="BV60" s="14"/>
      <c r="BW60" s="14"/>
      <c r="BX60" s="14"/>
    </row>
    <row r="61" spans="1:76" ht="28">
      <c r="A61" s="16" t="s">
        <v>484</v>
      </c>
      <c r="B61" s="16"/>
      <c r="C61" s="16"/>
      <c r="D61" s="16"/>
      <c r="E61" s="16"/>
      <c r="F61" s="16"/>
      <c r="G61" s="16"/>
      <c r="H61" s="16"/>
      <c r="I61" s="16"/>
      <c r="J61" s="16"/>
      <c r="K61" s="16"/>
      <c r="L61" s="16"/>
      <c r="M61" s="16"/>
      <c r="N61" s="16"/>
      <c r="O61" s="16"/>
      <c r="P61" s="16"/>
      <c r="Q61" s="16"/>
      <c r="R61" s="16"/>
      <c r="S61" s="16"/>
      <c r="T61" s="14"/>
      <c r="U61" s="14"/>
      <c r="V61" s="23"/>
      <c r="W61" s="14"/>
      <c r="X61" s="14"/>
      <c r="Y61" s="14"/>
      <c r="Z61" s="14"/>
      <c r="AA61" s="14"/>
      <c r="AB61" s="14"/>
      <c r="AC61" s="14"/>
      <c r="AD61" s="14"/>
      <c r="AE61" s="14"/>
      <c r="AF61" s="14"/>
      <c r="AG61" s="14"/>
      <c r="AH61" s="14"/>
      <c r="AI61" s="14"/>
      <c r="AJ61" s="14"/>
      <c r="AK61" s="14"/>
      <c r="AL61" s="14"/>
      <c r="AM61" s="14"/>
      <c r="AN61" s="14"/>
      <c r="AO61" s="14"/>
      <c r="AP61" s="14"/>
      <c r="AQ61" s="14"/>
      <c r="AR61" s="23" t="s">
        <v>463</v>
      </c>
      <c r="AS61" s="14"/>
      <c r="AT61" s="14"/>
      <c r="AU61" s="14"/>
      <c r="AV61" s="14"/>
      <c r="AW61" s="14"/>
      <c r="AX61" s="14"/>
      <c r="AY61" s="14"/>
      <c r="AZ61" s="14"/>
      <c r="BA61" s="14"/>
      <c r="BB61" s="14"/>
      <c r="BC61" s="14"/>
      <c r="BD61" s="14"/>
      <c r="BE61" s="14"/>
      <c r="BF61" s="14"/>
      <c r="BG61" s="14"/>
      <c r="BH61" s="14"/>
      <c r="BI61" s="14"/>
      <c r="BJ61" s="14"/>
      <c r="BK61" s="14"/>
      <c r="BL61" s="14"/>
      <c r="BM61" s="14"/>
      <c r="BN61" s="14"/>
      <c r="BO61" s="14"/>
      <c r="BP61" s="14"/>
      <c r="BQ61" s="14"/>
      <c r="BR61" s="14"/>
      <c r="BS61" s="14"/>
      <c r="BT61" s="14"/>
      <c r="BU61" s="14"/>
      <c r="BV61" s="14"/>
      <c r="BW61" s="14"/>
      <c r="BX61" s="14"/>
    </row>
    <row r="62" spans="1:76" ht="28">
      <c r="A62" s="16"/>
      <c r="B62" s="16"/>
      <c r="C62" s="16"/>
      <c r="D62" s="16"/>
      <c r="E62" s="16"/>
      <c r="F62" s="16"/>
      <c r="G62" s="16"/>
      <c r="H62" s="16"/>
      <c r="I62" s="16"/>
      <c r="J62" s="16"/>
      <c r="K62" s="16"/>
      <c r="L62" s="16"/>
      <c r="M62" s="16"/>
      <c r="N62" s="16"/>
      <c r="O62" s="16"/>
      <c r="P62" s="16"/>
      <c r="Q62" s="16"/>
      <c r="R62" s="16"/>
      <c r="S62" s="16"/>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14"/>
      <c r="BD62" s="14"/>
      <c r="BE62" s="14"/>
      <c r="BF62" s="14"/>
      <c r="BG62" s="14"/>
      <c r="BH62" s="14"/>
      <c r="BI62" s="14"/>
      <c r="BJ62" s="14"/>
      <c r="BK62" s="14"/>
      <c r="BL62" s="14"/>
      <c r="BM62" s="14"/>
      <c r="BN62" s="14"/>
      <c r="BO62" s="14"/>
      <c r="BP62" s="14"/>
      <c r="BQ62" s="14"/>
      <c r="BR62" s="14"/>
      <c r="BS62" s="14"/>
      <c r="BT62" s="14"/>
      <c r="BU62" s="14"/>
      <c r="BV62" s="14"/>
      <c r="BW62" s="14"/>
      <c r="BX62" s="14"/>
    </row>
    <row r="63" spans="1:76" ht="28">
      <c r="A63" s="17" t="s">
        <v>485</v>
      </c>
      <c r="B63" s="16"/>
      <c r="C63" s="16"/>
      <c r="D63" s="16"/>
      <c r="E63" s="16"/>
      <c r="F63" s="16"/>
      <c r="G63" s="16"/>
      <c r="H63" s="16"/>
      <c r="I63" s="16"/>
      <c r="J63" s="16"/>
      <c r="K63" s="16"/>
      <c r="L63" s="16"/>
      <c r="M63" s="16"/>
      <c r="N63" s="16"/>
      <c r="O63" s="16"/>
      <c r="P63" s="16"/>
      <c r="Q63" s="16"/>
      <c r="R63" s="16"/>
      <c r="S63" s="16"/>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t="s">
        <v>464</v>
      </c>
      <c r="AS63" s="14"/>
      <c r="AT63" s="14"/>
      <c r="AU63" s="14"/>
      <c r="AV63" s="14"/>
      <c r="AW63" s="14"/>
      <c r="AX63" s="14"/>
      <c r="AY63" s="14"/>
      <c r="AZ63" s="14"/>
      <c r="BA63" s="14"/>
      <c r="BB63" s="14"/>
      <c r="BC63" s="14"/>
      <c r="BD63" s="14"/>
      <c r="BE63" s="14"/>
      <c r="BF63" s="14"/>
      <c r="BG63" s="14"/>
      <c r="BH63" s="14"/>
      <c r="BI63" s="14"/>
      <c r="BJ63" s="14"/>
      <c r="BK63" s="14"/>
      <c r="BL63" s="14"/>
      <c r="BM63" s="14"/>
      <c r="BN63" s="14"/>
      <c r="BO63" s="14"/>
      <c r="BP63" s="14"/>
      <c r="BQ63" s="14"/>
      <c r="BR63" s="14"/>
      <c r="BS63" s="14"/>
      <c r="BT63" s="14"/>
      <c r="BU63" s="14"/>
      <c r="BV63" s="14"/>
      <c r="BW63" s="14"/>
      <c r="BX63" s="14"/>
    </row>
    <row r="64" spans="1:76" ht="28">
      <c r="A64" s="16"/>
      <c r="B64" s="16"/>
      <c r="C64" s="16"/>
      <c r="D64" s="16"/>
      <c r="E64" s="16"/>
      <c r="F64" s="16"/>
      <c r="G64" s="16"/>
      <c r="H64" s="16"/>
      <c r="I64" s="16"/>
      <c r="J64" s="16"/>
      <c r="K64" s="16"/>
      <c r="L64" s="16"/>
      <c r="M64" s="16"/>
      <c r="N64" s="16"/>
      <c r="O64" s="16"/>
      <c r="P64" s="16"/>
      <c r="Q64" s="16"/>
      <c r="R64" s="16"/>
      <c r="S64" s="16"/>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14"/>
      <c r="BD64" s="14"/>
      <c r="BE64" s="14"/>
      <c r="BF64" s="14"/>
      <c r="BG64" s="14"/>
      <c r="BH64" s="14"/>
      <c r="BI64" s="14"/>
      <c r="BJ64" s="14"/>
      <c r="BK64" s="14"/>
      <c r="BL64" s="14"/>
      <c r="BM64" s="14"/>
      <c r="BN64" s="14"/>
      <c r="BO64" s="14"/>
      <c r="BP64" s="14"/>
      <c r="BQ64" s="14"/>
      <c r="BR64" s="14"/>
      <c r="BS64" s="14"/>
      <c r="BT64" s="14"/>
      <c r="BU64" s="14"/>
      <c r="BV64" s="14"/>
      <c r="BW64" s="14"/>
      <c r="BX64" s="14"/>
    </row>
    <row r="65" spans="1:76" ht="28">
      <c r="A65" s="17" t="s">
        <v>486</v>
      </c>
      <c r="B65" s="16"/>
      <c r="C65" s="16"/>
      <c r="D65" s="16"/>
      <c r="E65" s="16"/>
      <c r="F65" s="16"/>
      <c r="G65" s="16"/>
      <c r="H65" s="16"/>
      <c r="I65" s="16"/>
      <c r="J65" s="16"/>
      <c r="K65" s="16"/>
      <c r="L65" s="16"/>
      <c r="M65" s="16"/>
      <c r="N65" s="16"/>
      <c r="O65" s="16"/>
      <c r="P65" s="16"/>
      <c r="Q65" s="16"/>
      <c r="R65" s="16"/>
      <c r="S65" s="16"/>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c r="BC65" s="14"/>
      <c r="BD65" s="14"/>
      <c r="BE65" s="14"/>
      <c r="BF65" s="14"/>
      <c r="BG65" s="14"/>
      <c r="BH65" s="14"/>
      <c r="BI65" s="14"/>
      <c r="BJ65" s="14"/>
      <c r="BK65" s="14"/>
      <c r="BL65" s="14"/>
      <c r="BM65" s="14"/>
      <c r="BN65" s="14"/>
      <c r="BO65" s="14"/>
      <c r="BP65" s="14"/>
      <c r="BQ65" s="14"/>
      <c r="BR65" s="14"/>
      <c r="BS65" s="14"/>
      <c r="BT65" s="14"/>
      <c r="BU65" s="14"/>
      <c r="BV65" s="14"/>
      <c r="BW65" s="14"/>
      <c r="BX65" s="14"/>
    </row>
    <row r="66" spans="1:76" ht="27.5">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H66" s="14"/>
      <c r="BI66" s="14"/>
      <c r="BJ66" s="14"/>
      <c r="BK66" s="14"/>
      <c r="BL66" s="14"/>
      <c r="BM66" s="14"/>
      <c r="BN66" s="14"/>
      <c r="BO66" s="14"/>
      <c r="BP66" s="14"/>
      <c r="BQ66" s="14"/>
      <c r="BR66" s="14"/>
      <c r="BS66" s="14"/>
      <c r="BT66" s="14"/>
      <c r="BU66" s="14"/>
      <c r="BV66" s="14"/>
      <c r="BW66" s="14"/>
      <c r="BX66" s="14"/>
    </row>
    <row r="67" spans="1:76" ht="28">
      <c r="A67" s="14"/>
      <c r="B67" s="14"/>
      <c r="C67" s="14"/>
      <c r="D67" s="14"/>
      <c r="E67" s="14"/>
      <c r="F67" s="14"/>
      <c r="G67" s="14"/>
      <c r="H67" s="14"/>
      <c r="I67" s="14"/>
      <c r="J67" s="14"/>
      <c r="K67" s="14"/>
      <c r="L67" s="14"/>
      <c r="M67" s="14"/>
      <c r="N67" s="14"/>
      <c r="O67" s="14"/>
      <c r="P67" s="14"/>
      <c r="Q67" s="14"/>
      <c r="R67" s="14"/>
      <c r="S67" s="14"/>
      <c r="T67" s="14"/>
      <c r="U67" s="14"/>
      <c r="V67" s="18"/>
      <c r="W67" s="14"/>
      <c r="X67" s="14"/>
      <c r="Y67" s="14"/>
      <c r="Z67" s="14"/>
      <c r="AA67" s="14"/>
      <c r="AB67" s="14"/>
      <c r="AC67" s="14"/>
      <c r="AD67" s="14"/>
      <c r="AE67" s="14"/>
      <c r="AF67" s="14"/>
      <c r="AG67" s="14"/>
      <c r="AH67" s="14"/>
      <c r="AI67" s="14"/>
      <c r="AJ67" s="14"/>
      <c r="AK67" s="14"/>
      <c r="AL67" s="14"/>
      <c r="AM67" s="14"/>
      <c r="AN67" s="14"/>
      <c r="AO67" s="14"/>
      <c r="AP67" s="14"/>
      <c r="AQ67" s="14"/>
      <c r="AR67" s="18" t="s">
        <v>465</v>
      </c>
      <c r="AS67" s="14"/>
      <c r="AT67" s="14"/>
      <c r="AU67" s="14"/>
      <c r="AV67" s="14"/>
      <c r="AW67" s="14"/>
      <c r="AX67" s="14"/>
      <c r="AY67" s="14"/>
      <c r="AZ67" s="14"/>
      <c r="BA67" s="14"/>
      <c r="BB67" s="14"/>
      <c r="BC67" s="14"/>
      <c r="BD67" s="14"/>
      <c r="BE67" s="14"/>
      <c r="BF67" s="14"/>
      <c r="BG67" s="14"/>
      <c r="BH67" s="14"/>
      <c r="BI67" s="14"/>
      <c r="BJ67" s="14"/>
      <c r="BK67" s="14"/>
      <c r="BL67" s="14"/>
      <c r="BM67" s="14"/>
      <c r="BN67" s="14"/>
      <c r="BO67" s="14"/>
      <c r="BP67" s="14"/>
      <c r="BQ67" s="14"/>
      <c r="BR67" s="14"/>
      <c r="BS67" s="14"/>
      <c r="BT67" s="14"/>
      <c r="BU67" s="14"/>
      <c r="BV67" s="14"/>
      <c r="BW67" s="14"/>
      <c r="BX67" s="14"/>
    </row>
    <row r="68" spans="1:76" ht="27.5">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c r="BA68" s="14"/>
      <c r="BB68" s="14"/>
      <c r="BC68" s="14"/>
      <c r="BD68" s="14"/>
      <c r="BE68" s="14"/>
      <c r="BF68" s="14"/>
      <c r="BG68" s="14"/>
      <c r="BH68" s="14"/>
      <c r="BI68" s="14"/>
      <c r="BJ68" s="14"/>
      <c r="BK68" s="14"/>
      <c r="BL68" s="14"/>
      <c r="BM68" s="14"/>
      <c r="BN68" s="14"/>
      <c r="BO68" s="14"/>
      <c r="BP68" s="14"/>
      <c r="BQ68" s="14"/>
      <c r="BR68" s="14"/>
      <c r="BS68" s="14"/>
      <c r="BT68" s="14"/>
      <c r="BU68" s="14"/>
      <c r="BV68" s="14"/>
      <c r="BW68" s="14"/>
      <c r="BX68" s="14"/>
    </row>
    <row r="69" spans="1:76" ht="28">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t="s">
        <v>487</v>
      </c>
      <c r="AS69" s="14"/>
      <c r="AT69" s="14"/>
      <c r="AU69" s="14"/>
      <c r="AV69" s="14"/>
      <c r="AW69" s="14"/>
      <c r="AX69" s="14"/>
      <c r="AY69" s="14"/>
      <c r="AZ69" s="14"/>
      <c r="BA69" s="14"/>
      <c r="BB69" s="14"/>
      <c r="BC69" s="14"/>
      <c r="BD69" s="14"/>
      <c r="BE69" s="14"/>
      <c r="BF69" s="14"/>
      <c r="BG69" s="14"/>
      <c r="BH69" s="14"/>
      <c r="BI69" s="14"/>
      <c r="BJ69" s="14"/>
      <c r="BK69" s="14"/>
      <c r="BL69" s="14"/>
      <c r="BM69" s="14"/>
      <c r="BN69" s="14"/>
      <c r="BO69" s="14"/>
      <c r="BP69" s="14"/>
      <c r="BQ69" s="14"/>
      <c r="BR69" s="14"/>
      <c r="BS69" s="14"/>
      <c r="BT69" s="14"/>
      <c r="BU69" s="14"/>
      <c r="BV69" s="14"/>
      <c r="BW69" s="14"/>
      <c r="BX69" s="14"/>
    </row>
    <row r="70" spans="1:76" ht="27.5">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c r="AZ70" s="14"/>
      <c r="BA70" s="14"/>
      <c r="BB70" s="14"/>
      <c r="BC70" s="14"/>
      <c r="BD70" s="14"/>
      <c r="BE70" s="14"/>
      <c r="BF70" s="14"/>
      <c r="BG70" s="14"/>
      <c r="BH70" s="14"/>
      <c r="BI70" s="14"/>
      <c r="BJ70" s="14"/>
      <c r="BK70" s="14"/>
      <c r="BL70" s="14"/>
      <c r="BM70" s="14"/>
      <c r="BN70" s="14"/>
      <c r="BO70" s="14"/>
      <c r="BP70" s="14"/>
      <c r="BQ70" s="14"/>
      <c r="BR70" s="14"/>
      <c r="BS70" s="14"/>
      <c r="BT70" s="14"/>
      <c r="BU70" s="14"/>
      <c r="BV70" s="14"/>
      <c r="BW70" s="14"/>
      <c r="BX70" s="14"/>
    </row>
    <row r="71" spans="1:76" ht="27.5">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t="s">
        <v>466</v>
      </c>
      <c r="AS71" s="14"/>
      <c r="AT71" s="14"/>
      <c r="AU71" s="14"/>
      <c r="AV71" s="14"/>
      <c r="AW71" s="14"/>
      <c r="AX71" s="14"/>
      <c r="AY71" s="14"/>
      <c r="AZ71" s="14"/>
      <c r="BA71" s="14"/>
      <c r="BB71" s="14"/>
      <c r="BC71" s="14"/>
      <c r="BD71" s="14"/>
      <c r="BE71" s="14"/>
      <c r="BF71" s="14"/>
      <c r="BG71" s="14"/>
      <c r="BH71" s="14"/>
      <c r="BI71" s="14"/>
      <c r="BJ71" s="14"/>
      <c r="BK71" s="14"/>
      <c r="BL71" s="14"/>
      <c r="BM71" s="14"/>
      <c r="BN71" s="14"/>
      <c r="BO71" s="14"/>
      <c r="BP71" s="14"/>
      <c r="BQ71" s="14"/>
      <c r="BR71" s="14"/>
      <c r="BS71" s="14"/>
      <c r="BT71" s="14"/>
      <c r="BU71" s="14"/>
      <c r="BV71" s="14"/>
      <c r="BW71" s="14"/>
      <c r="BX71" s="14"/>
    </row>
    <row r="72" spans="1:76" ht="27.5">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c r="BC72" s="14"/>
      <c r="BD72" s="14"/>
      <c r="BE72" s="14"/>
      <c r="BF72" s="14"/>
      <c r="BG72" s="14"/>
      <c r="BH72" s="14"/>
      <c r="BI72" s="14"/>
      <c r="BJ72" s="14"/>
      <c r="BK72" s="14"/>
      <c r="BL72" s="14"/>
      <c r="BM72" s="14"/>
      <c r="BN72" s="14"/>
      <c r="BO72" s="14"/>
      <c r="BP72" s="14"/>
      <c r="BQ72" s="14"/>
      <c r="BR72" s="14"/>
      <c r="BS72" s="14"/>
      <c r="BT72" s="14"/>
      <c r="BU72" s="14"/>
      <c r="BV72" s="14"/>
      <c r="BW72" s="14"/>
      <c r="BX72" s="14"/>
    </row>
  </sheetData>
  <mergeCells count="3">
    <mergeCell ref="A1:T1"/>
    <mergeCell ref="V1:AJ1"/>
    <mergeCell ref="AR1:BF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FF992-CF52-4BBC-ACA6-61F20809ABD4}">
  <dimension ref="A1:I361"/>
  <sheetViews>
    <sheetView tabSelected="1" zoomScale="49" zoomScaleNormal="60" workbookViewId="0">
      <selection activeCell="H36" sqref="H36"/>
    </sheetView>
  </sheetViews>
  <sheetFormatPr defaultRowHeight="12.5"/>
  <cols>
    <col min="1" max="1" width="32.26953125" customWidth="1"/>
    <col min="2" max="2" width="15.7265625" customWidth="1"/>
    <col min="3" max="3" width="18.453125" customWidth="1"/>
    <col min="4" max="4" width="8.81640625" bestFit="1" customWidth="1"/>
    <col min="5" max="5" width="12.08984375" bestFit="1" customWidth="1"/>
    <col min="6" max="6" width="32.08984375" customWidth="1"/>
    <col min="7" max="7" width="21.81640625" customWidth="1"/>
    <col min="8" max="8" width="25.1796875" customWidth="1"/>
    <col min="9" max="9" width="18.90625" customWidth="1"/>
  </cols>
  <sheetData>
    <row r="1" spans="1:9">
      <c r="A1" t="s">
        <v>423</v>
      </c>
    </row>
    <row r="2" spans="1:9" ht="13" thickBot="1"/>
    <row r="3" spans="1:9" ht="13">
      <c r="A3" s="5" t="s">
        <v>394</v>
      </c>
      <c r="B3" s="5"/>
    </row>
    <row r="4" spans="1:9">
      <c r="A4" t="s">
        <v>395</v>
      </c>
      <c r="B4">
        <v>8.1749010489190296E-2</v>
      </c>
    </row>
    <row r="5" spans="1:9">
      <c r="A5" t="s">
        <v>396</v>
      </c>
      <c r="B5">
        <v>6.6829007159617459E-3</v>
      </c>
    </row>
    <row r="6" spans="1:9">
      <c r="A6" t="s">
        <v>397</v>
      </c>
      <c r="B6">
        <v>3.7177750464571541E-3</v>
      </c>
    </row>
    <row r="7" spans="1:9">
      <c r="A7" t="s">
        <v>368</v>
      </c>
      <c r="B7">
        <v>61.989502566040024</v>
      </c>
    </row>
    <row r="8" spans="1:9" ht="13" thickBot="1">
      <c r="A8" s="3" t="s">
        <v>398</v>
      </c>
      <c r="B8" s="3">
        <v>338</v>
      </c>
    </row>
    <row r="10" spans="1:9" ht="13" thickBot="1">
      <c r="A10" t="s">
        <v>399</v>
      </c>
    </row>
    <row r="11" spans="1:9" ht="13">
      <c r="A11" s="4"/>
      <c r="B11" s="4" t="s">
        <v>404</v>
      </c>
      <c r="C11" s="4" t="s">
        <v>405</v>
      </c>
      <c r="D11" s="4" t="s">
        <v>406</v>
      </c>
      <c r="E11" s="4" t="s">
        <v>407</v>
      </c>
      <c r="F11" s="4" t="s">
        <v>408</v>
      </c>
    </row>
    <row r="12" spans="1:9">
      <c r="A12" t="s">
        <v>400</v>
      </c>
      <c r="B12">
        <v>1</v>
      </c>
      <c r="C12">
        <v>8660.8039390689228</v>
      </c>
      <c r="D12">
        <v>8660.8039390689228</v>
      </c>
      <c r="E12">
        <v>2.2538338879506288</v>
      </c>
      <c r="F12">
        <v>0.1342257560453872</v>
      </c>
    </row>
    <row r="13" spans="1:9">
      <c r="A13" t="s">
        <v>401</v>
      </c>
      <c r="B13">
        <v>335</v>
      </c>
      <c r="C13">
        <v>1287303.9735090027</v>
      </c>
      <c r="D13">
        <v>3842.6984283850829</v>
      </c>
    </row>
    <row r="14" spans="1:9" ht="13" thickBot="1">
      <c r="A14" s="3" t="s">
        <v>402</v>
      </c>
      <c r="B14" s="3">
        <v>336</v>
      </c>
      <c r="C14" s="3">
        <v>1295964.7774480716</v>
      </c>
      <c r="D14" s="3"/>
      <c r="E14" s="3"/>
      <c r="F14" s="3"/>
    </row>
    <row r="15" spans="1:9" ht="13" thickBot="1"/>
    <row r="16" spans="1:9" ht="13">
      <c r="A16" s="4"/>
      <c r="B16" s="4" t="s">
        <v>409</v>
      </c>
      <c r="C16" s="4" t="s">
        <v>368</v>
      </c>
      <c r="D16" s="4" t="s">
        <v>410</v>
      </c>
      <c r="E16" s="4" t="s">
        <v>411</v>
      </c>
      <c r="F16" s="4" t="s">
        <v>412</v>
      </c>
      <c r="G16" s="4" t="s">
        <v>413</v>
      </c>
      <c r="H16" s="4" t="s">
        <v>414</v>
      </c>
      <c r="I16" s="4" t="s">
        <v>415</v>
      </c>
    </row>
    <row r="17" spans="1:9">
      <c r="A17" t="s">
        <v>403</v>
      </c>
      <c r="B17">
        <v>130.63505228836078</v>
      </c>
      <c r="C17">
        <v>5.2487627401803891</v>
      </c>
      <c r="D17">
        <v>24.888732593744773</v>
      </c>
      <c r="E17">
        <v>3.7042095681936752E-78</v>
      </c>
      <c r="F17">
        <v>120.31036536506103</v>
      </c>
      <c r="G17">
        <v>140.95973921166055</v>
      </c>
      <c r="H17">
        <v>120.31036536506103</v>
      </c>
      <c r="I17">
        <v>140.95973921166055</v>
      </c>
    </row>
    <row r="18" spans="1:9" ht="13" thickBot="1">
      <c r="A18" s="3">
        <v>5720</v>
      </c>
      <c r="B18" s="3">
        <v>9.4865755901028012E-4</v>
      </c>
      <c r="C18" s="3">
        <v>6.3190023854540567E-4</v>
      </c>
      <c r="D18" s="3">
        <v>1.5012774187172799</v>
      </c>
      <c r="E18" s="3">
        <v>0.13422575604540524</v>
      </c>
      <c r="F18" s="3">
        <v>-2.9433482847102631E-4</v>
      </c>
      <c r="G18" s="3">
        <v>2.1916499464915864E-3</v>
      </c>
      <c r="H18" s="3">
        <v>-2.9433482847102631E-4</v>
      </c>
      <c r="I18" s="3">
        <v>2.1916499464915864E-3</v>
      </c>
    </row>
    <row r="22" spans="1:9">
      <c r="A22" t="s">
        <v>421</v>
      </c>
    </row>
    <row r="23" spans="1:9" ht="13" thickBot="1"/>
    <row r="24" spans="1:9" ht="13">
      <c r="A24" s="4" t="s">
        <v>422</v>
      </c>
      <c r="B24" s="4">
        <v>110</v>
      </c>
    </row>
    <row r="25" spans="1:9">
      <c r="A25">
        <v>0.14836795252225518</v>
      </c>
      <c r="B25">
        <v>28</v>
      </c>
    </row>
    <row r="26" spans="1:9">
      <c r="A26">
        <v>0.44510385756676552</v>
      </c>
      <c r="B26">
        <v>28</v>
      </c>
    </row>
    <row r="27" spans="1:9">
      <c r="A27">
        <v>0.74183976261127593</v>
      </c>
      <c r="B27">
        <v>30</v>
      </c>
    </row>
    <row r="28" spans="1:9">
      <c r="A28">
        <v>1.0385756676557862</v>
      </c>
      <c r="B28">
        <v>35</v>
      </c>
    </row>
    <row r="29" spans="1:9">
      <c r="A29">
        <v>1.3353115727002967</v>
      </c>
      <c r="B29">
        <v>40</v>
      </c>
    </row>
    <row r="30" spans="1:9">
      <c r="A30">
        <v>1.6320474777448071</v>
      </c>
      <c r="B30">
        <v>40</v>
      </c>
    </row>
    <row r="31" spans="1:9">
      <c r="A31">
        <v>1.9287833827893173</v>
      </c>
      <c r="B31">
        <v>40</v>
      </c>
    </row>
    <row r="32" spans="1:9">
      <c r="A32">
        <v>2.2255192878338277</v>
      </c>
      <c r="B32">
        <v>46</v>
      </c>
    </row>
    <row r="33" spans="1:2">
      <c r="A33">
        <v>2.5222551928783381</v>
      </c>
      <c r="B33">
        <v>48</v>
      </c>
    </row>
    <row r="34" spans="1:2">
      <c r="A34">
        <v>2.8189910979228485</v>
      </c>
      <c r="B34">
        <v>49</v>
      </c>
    </row>
    <row r="35" spans="1:2">
      <c r="A35">
        <v>3.1157270029673589</v>
      </c>
      <c r="B35">
        <v>50</v>
      </c>
    </row>
    <row r="36" spans="1:2">
      <c r="A36">
        <v>3.4124629080118694</v>
      </c>
      <c r="B36">
        <v>50</v>
      </c>
    </row>
    <row r="37" spans="1:2">
      <c r="A37">
        <v>3.7091988130563793</v>
      </c>
      <c r="B37">
        <v>55</v>
      </c>
    </row>
    <row r="38" spans="1:2">
      <c r="A38">
        <v>4.0059347181008897</v>
      </c>
      <c r="B38">
        <v>57</v>
      </c>
    </row>
    <row r="39" spans="1:2">
      <c r="A39">
        <v>4.3026706231454002</v>
      </c>
      <c r="B39">
        <v>59</v>
      </c>
    </row>
    <row r="40" spans="1:2">
      <c r="A40">
        <v>4.5994065281899106</v>
      </c>
      <c r="B40">
        <v>61</v>
      </c>
    </row>
    <row r="41" spans="1:2">
      <c r="A41">
        <v>4.896142433234421</v>
      </c>
      <c r="B41">
        <v>64</v>
      </c>
    </row>
    <row r="42" spans="1:2">
      <c r="A42">
        <v>5.1928783382789314</v>
      </c>
      <c r="B42">
        <v>64</v>
      </c>
    </row>
    <row r="43" spans="1:2">
      <c r="A43">
        <v>5.4896142433234418</v>
      </c>
      <c r="B43">
        <v>65</v>
      </c>
    </row>
    <row r="44" spans="1:2">
      <c r="A44">
        <v>5.7863501483679523</v>
      </c>
      <c r="B44">
        <v>65</v>
      </c>
    </row>
    <row r="45" spans="1:2">
      <c r="A45">
        <v>6.0830860534124627</v>
      </c>
      <c r="B45">
        <v>65</v>
      </c>
    </row>
    <row r="46" spans="1:2">
      <c r="A46">
        <v>6.3798219584569731</v>
      </c>
      <c r="B46">
        <v>65</v>
      </c>
    </row>
    <row r="47" spans="1:2">
      <c r="A47">
        <v>6.6765578635014835</v>
      </c>
      <c r="B47">
        <v>66</v>
      </c>
    </row>
    <row r="48" spans="1:2">
      <c r="A48">
        <v>6.9732937685459939</v>
      </c>
      <c r="B48">
        <v>67</v>
      </c>
    </row>
    <row r="49" spans="1:2">
      <c r="A49">
        <v>7.2700296735905034</v>
      </c>
      <c r="B49">
        <v>68</v>
      </c>
    </row>
    <row r="50" spans="1:2">
      <c r="A50">
        <v>7.5667655786350139</v>
      </c>
      <c r="B50">
        <v>70</v>
      </c>
    </row>
    <row r="51" spans="1:2">
      <c r="A51">
        <v>7.8635014836795243</v>
      </c>
      <c r="B51">
        <v>70</v>
      </c>
    </row>
    <row r="52" spans="1:2">
      <c r="A52">
        <v>8.1602373887240347</v>
      </c>
      <c r="B52">
        <v>70</v>
      </c>
    </row>
    <row r="53" spans="1:2">
      <c r="A53">
        <v>8.4569732937685451</v>
      </c>
      <c r="B53">
        <v>71</v>
      </c>
    </row>
    <row r="54" spans="1:2">
      <c r="A54">
        <v>8.7537091988130555</v>
      </c>
      <c r="B54">
        <v>72</v>
      </c>
    </row>
    <row r="55" spans="1:2">
      <c r="A55">
        <v>9.050445103857566</v>
      </c>
      <c r="B55">
        <v>74</v>
      </c>
    </row>
    <row r="56" spans="1:2">
      <c r="A56">
        <v>9.3471810089020764</v>
      </c>
      <c r="B56">
        <v>75</v>
      </c>
    </row>
    <row r="57" spans="1:2">
      <c r="A57">
        <v>9.6439169139465868</v>
      </c>
      <c r="B57">
        <v>75</v>
      </c>
    </row>
    <row r="58" spans="1:2">
      <c r="A58">
        <v>9.9406528189910972</v>
      </c>
      <c r="B58">
        <v>77</v>
      </c>
    </row>
    <row r="59" spans="1:2">
      <c r="A59">
        <v>10.237388724035608</v>
      </c>
      <c r="B59">
        <v>78</v>
      </c>
    </row>
    <row r="60" spans="1:2">
      <c r="A60">
        <v>10.534124629080118</v>
      </c>
      <c r="B60">
        <v>78</v>
      </c>
    </row>
    <row r="61" spans="1:2">
      <c r="A61">
        <v>10.830860534124628</v>
      </c>
      <c r="B61">
        <v>79</v>
      </c>
    </row>
    <row r="62" spans="1:2">
      <c r="A62">
        <v>11.127596439169139</v>
      </c>
      <c r="B62">
        <v>80</v>
      </c>
    </row>
    <row r="63" spans="1:2">
      <c r="A63">
        <v>11.424332344213649</v>
      </c>
      <c r="B63">
        <v>80</v>
      </c>
    </row>
    <row r="64" spans="1:2">
      <c r="A64">
        <v>11.72106824925816</v>
      </c>
      <c r="B64">
        <v>80</v>
      </c>
    </row>
    <row r="65" spans="1:2">
      <c r="A65">
        <v>12.01780415430267</v>
      </c>
      <c r="B65">
        <v>80</v>
      </c>
    </row>
    <row r="66" spans="1:2">
      <c r="A66">
        <v>12.314540059347181</v>
      </c>
      <c r="B66">
        <v>80</v>
      </c>
    </row>
    <row r="67" spans="1:2">
      <c r="A67">
        <v>12.611275964391691</v>
      </c>
      <c r="B67">
        <v>81</v>
      </c>
    </row>
    <row r="68" spans="1:2">
      <c r="A68">
        <v>12.908011869436201</v>
      </c>
      <c r="B68">
        <v>81</v>
      </c>
    </row>
    <row r="69" spans="1:2">
      <c r="A69">
        <v>13.204747774480712</v>
      </c>
      <c r="B69">
        <v>83</v>
      </c>
    </row>
    <row r="70" spans="1:2">
      <c r="A70">
        <v>13.501483679525222</v>
      </c>
      <c r="B70">
        <v>83</v>
      </c>
    </row>
    <row r="71" spans="1:2">
      <c r="A71">
        <v>13.798219584569733</v>
      </c>
      <c r="B71">
        <v>84</v>
      </c>
    </row>
    <row r="72" spans="1:2">
      <c r="A72">
        <v>14.094955489614243</v>
      </c>
      <c r="B72">
        <v>84</v>
      </c>
    </row>
    <row r="73" spans="1:2">
      <c r="A73">
        <v>14.391691394658752</v>
      </c>
      <c r="B73">
        <v>84</v>
      </c>
    </row>
    <row r="74" spans="1:2">
      <c r="A74">
        <v>14.688427299703262</v>
      </c>
      <c r="B74">
        <v>87</v>
      </c>
    </row>
    <row r="75" spans="1:2">
      <c r="A75">
        <v>14.985163204747773</v>
      </c>
      <c r="B75">
        <v>88</v>
      </c>
    </row>
    <row r="76" spans="1:2">
      <c r="A76">
        <v>15.281899109792283</v>
      </c>
      <c r="B76">
        <v>88</v>
      </c>
    </row>
    <row r="77" spans="1:2">
      <c r="A77">
        <v>15.578635014836793</v>
      </c>
      <c r="B77">
        <v>90</v>
      </c>
    </row>
    <row r="78" spans="1:2">
      <c r="A78">
        <v>15.875370919881304</v>
      </c>
      <c r="B78">
        <v>90</v>
      </c>
    </row>
    <row r="79" spans="1:2">
      <c r="A79">
        <v>16.172106824925812</v>
      </c>
      <c r="B79">
        <v>90</v>
      </c>
    </row>
    <row r="80" spans="1:2">
      <c r="A80">
        <v>16.468842729970323</v>
      </c>
      <c r="B80">
        <v>90</v>
      </c>
    </row>
    <row r="81" spans="1:2">
      <c r="A81">
        <v>16.765578635014833</v>
      </c>
      <c r="B81">
        <v>90</v>
      </c>
    </row>
    <row r="82" spans="1:2">
      <c r="A82">
        <v>17.062314540059344</v>
      </c>
      <c r="B82">
        <v>90</v>
      </c>
    </row>
    <row r="83" spans="1:2">
      <c r="A83">
        <v>17.359050445103854</v>
      </c>
      <c r="B83">
        <v>90</v>
      </c>
    </row>
    <row r="84" spans="1:2">
      <c r="A84">
        <v>17.655786350148365</v>
      </c>
      <c r="B84">
        <v>90</v>
      </c>
    </row>
    <row r="85" spans="1:2">
      <c r="A85">
        <v>17.952522255192875</v>
      </c>
      <c r="B85">
        <v>90</v>
      </c>
    </row>
    <row r="86" spans="1:2">
      <c r="A86">
        <v>18.249258160237385</v>
      </c>
      <c r="B86">
        <v>92</v>
      </c>
    </row>
    <row r="87" spans="1:2">
      <c r="A87">
        <v>18.545994065281896</v>
      </c>
      <c r="B87">
        <v>92</v>
      </c>
    </row>
    <row r="88" spans="1:2">
      <c r="A88">
        <v>18.842729970326406</v>
      </c>
      <c r="B88">
        <v>92</v>
      </c>
    </row>
    <row r="89" spans="1:2">
      <c r="A89">
        <v>19.139465875370917</v>
      </c>
      <c r="B89">
        <v>93</v>
      </c>
    </row>
    <row r="90" spans="1:2">
      <c r="A90">
        <v>19.436201780415427</v>
      </c>
      <c r="B90">
        <v>94</v>
      </c>
    </row>
    <row r="91" spans="1:2">
      <c r="A91">
        <v>19.732937685459937</v>
      </c>
      <c r="B91">
        <v>94</v>
      </c>
    </row>
    <row r="92" spans="1:2">
      <c r="A92">
        <v>20.029673590504448</v>
      </c>
      <c r="B92">
        <v>95</v>
      </c>
    </row>
    <row r="93" spans="1:2">
      <c r="A93">
        <v>20.326409495548958</v>
      </c>
      <c r="B93">
        <v>95</v>
      </c>
    </row>
    <row r="94" spans="1:2">
      <c r="A94">
        <v>20.623145400593469</v>
      </c>
      <c r="B94">
        <v>95</v>
      </c>
    </row>
    <row r="95" spans="1:2">
      <c r="A95">
        <v>20.919881305637979</v>
      </c>
      <c r="B95">
        <v>96</v>
      </c>
    </row>
    <row r="96" spans="1:2">
      <c r="A96">
        <v>21.21661721068249</v>
      </c>
      <c r="B96">
        <v>96</v>
      </c>
    </row>
    <row r="97" spans="1:2">
      <c r="A97">
        <v>21.513353115727</v>
      </c>
      <c r="B97">
        <v>99</v>
      </c>
    </row>
    <row r="98" spans="1:2">
      <c r="A98">
        <v>21.81008902077151</v>
      </c>
      <c r="B98">
        <v>99</v>
      </c>
    </row>
    <row r="99" spans="1:2">
      <c r="A99">
        <v>22.106824925816021</v>
      </c>
      <c r="B99">
        <v>100</v>
      </c>
    </row>
    <row r="100" spans="1:2">
      <c r="A100">
        <v>22.403560830860531</v>
      </c>
      <c r="B100">
        <v>100</v>
      </c>
    </row>
    <row r="101" spans="1:2">
      <c r="A101">
        <v>22.700296735905042</v>
      </c>
      <c r="B101">
        <v>100</v>
      </c>
    </row>
    <row r="102" spans="1:2">
      <c r="A102">
        <v>22.997032640949552</v>
      </c>
      <c r="B102">
        <v>100</v>
      </c>
    </row>
    <row r="103" spans="1:2">
      <c r="A103">
        <v>23.293768545994062</v>
      </c>
      <c r="B103">
        <v>100</v>
      </c>
    </row>
    <row r="104" spans="1:2">
      <c r="A104">
        <v>23.590504451038573</v>
      </c>
      <c r="B104">
        <v>100</v>
      </c>
    </row>
    <row r="105" spans="1:2">
      <c r="A105">
        <v>23.887240356083083</v>
      </c>
      <c r="B105">
        <v>100</v>
      </c>
    </row>
    <row r="106" spans="1:2">
      <c r="A106">
        <v>24.183976261127594</v>
      </c>
      <c r="B106">
        <v>100</v>
      </c>
    </row>
    <row r="107" spans="1:2">
      <c r="A107">
        <v>24.480712166172104</v>
      </c>
      <c r="B107">
        <v>100</v>
      </c>
    </row>
    <row r="108" spans="1:2">
      <c r="A108">
        <v>24.777448071216615</v>
      </c>
      <c r="B108">
        <v>101</v>
      </c>
    </row>
    <row r="109" spans="1:2">
      <c r="A109">
        <v>25.074183976261125</v>
      </c>
      <c r="B109">
        <v>101</v>
      </c>
    </row>
    <row r="110" spans="1:2">
      <c r="A110">
        <v>25.370919881305635</v>
      </c>
      <c r="B110">
        <v>102</v>
      </c>
    </row>
    <row r="111" spans="1:2">
      <c r="A111">
        <v>25.667655786350146</v>
      </c>
      <c r="B111">
        <v>102</v>
      </c>
    </row>
    <row r="112" spans="1:2">
      <c r="A112">
        <v>25.964391691394656</v>
      </c>
      <c r="B112">
        <v>102</v>
      </c>
    </row>
    <row r="113" spans="1:2">
      <c r="A113">
        <v>26.261127596439167</v>
      </c>
      <c r="B113">
        <v>102</v>
      </c>
    </row>
    <row r="114" spans="1:2">
      <c r="A114">
        <v>26.557863501483677</v>
      </c>
      <c r="B114">
        <v>103</v>
      </c>
    </row>
    <row r="115" spans="1:2">
      <c r="A115">
        <v>26.854599406528187</v>
      </c>
      <c r="B115">
        <v>104</v>
      </c>
    </row>
    <row r="116" spans="1:2">
      <c r="A116">
        <v>27.151335311572698</v>
      </c>
      <c r="B116">
        <v>104</v>
      </c>
    </row>
    <row r="117" spans="1:2">
      <c r="A117">
        <v>27.448071216617208</v>
      </c>
      <c r="B117">
        <v>104</v>
      </c>
    </row>
    <row r="118" spans="1:2">
      <c r="A118">
        <v>27.744807121661719</v>
      </c>
      <c r="B118">
        <v>104</v>
      </c>
    </row>
    <row r="119" spans="1:2">
      <c r="A119">
        <v>28.041543026706229</v>
      </c>
      <c r="B119">
        <v>104</v>
      </c>
    </row>
    <row r="120" spans="1:2">
      <c r="A120">
        <v>28.33827893175074</v>
      </c>
      <c r="B120">
        <v>105</v>
      </c>
    </row>
    <row r="121" spans="1:2">
      <c r="A121">
        <v>28.635014836795246</v>
      </c>
      <c r="B121">
        <v>105</v>
      </c>
    </row>
    <row r="122" spans="1:2">
      <c r="A122">
        <v>28.931750741839757</v>
      </c>
      <c r="B122">
        <v>105</v>
      </c>
    </row>
    <row r="123" spans="1:2">
      <c r="A123">
        <v>29.228486646884267</v>
      </c>
      <c r="B123">
        <v>105</v>
      </c>
    </row>
    <row r="124" spans="1:2">
      <c r="A124">
        <v>29.525222551928778</v>
      </c>
      <c r="B124">
        <v>106</v>
      </c>
    </row>
    <row r="125" spans="1:2">
      <c r="A125">
        <v>29.821958456973288</v>
      </c>
      <c r="B125">
        <v>107</v>
      </c>
    </row>
    <row r="126" spans="1:2">
      <c r="A126">
        <v>30.118694362017798</v>
      </c>
      <c r="B126">
        <v>107</v>
      </c>
    </row>
    <row r="127" spans="1:2">
      <c r="A127">
        <v>30.415430267062309</v>
      </c>
      <c r="B127">
        <v>108</v>
      </c>
    </row>
    <row r="128" spans="1:2">
      <c r="A128">
        <v>30.712166172106819</v>
      </c>
      <c r="B128">
        <v>108</v>
      </c>
    </row>
    <row r="129" spans="1:2">
      <c r="A129">
        <v>31.00890207715133</v>
      </c>
      <c r="B129">
        <v>108</v>
      </c>
    </row>
    <row r="130" spans="1:2">
      <c r="A130">
        <v>31.30563798219584</v>
      </c>
      <c r="B130">
        <v>108</v>
      </c>
    </row>
    <row r="131" spans="1:2">
      <c r="A131">
        <v>31.602373887240351</v>
      </c>
      <c r="B131">
        <v>108</v>
      </c>
    </row>
    <row r="132" spans="1:2">
      <c r="A132">
        <v>31.899109792284861</v>
      </c>
      <c r="B132">
        <v>108</v>
      </c>
    </row>
    <row r="133" spans="1:2">
      <c r="A133">
        <v>32.195845697329375</v>
      </c>
      <c r="B133">
        <v>108</v>
      </c>
    </row>
    <row r="134" spans="1:2">
      <c r="A134">
        <v>32.492581602373889</v>
      </c>
      <c r="B134">
        <v>108</v>
      </c>
    </row>
    <row r="135" spans="1:2">
      <c r="A135">
        <v>32.789317507418396</v>
      </c>
      <c r="B135">
        <v>110</v>
      </c>
    </row>
    <row r="136" spans="1:2">
      <c r="A136">
        <v>33.08605341246291</v>
      </c>
      <c r="B136">
        <v>110</v>
      </c>
    </row>
    <row r="137" spans="1:2">
      <c r="A137">
        <v>33.382789317507417</v>
      </c>
      <c r="B137">
        <v>110</v>
      </c>
    </row>
    <row r="138" spans="1:2">
      <c r="A138">
        <v>33.679525222551931</v>
      </c>
      <c r="B138">
        <v>110</v>
      </c>
    </row>
    <row r="139" spans="1:2">
      <c r="A139">
        <v>33.976261127596437</v>
      </c>
      <c r="B139">
        <v>110</v>
      </c>
    </row>
    <row r="140" spans="1:2">
      <c r="A140">
        <v>34.272997032640951</v>
      </c>
      <c r="B140">
        <v>110</v>
      </c>
    </row>
    <row r="141" spans="1:2">
      <c r="A141">
        <v>34.569732937685458</v>
      </c>
      <c r="B141">
        <v>110</v>
      </c>
    </row>
    <row r="142" spans="1:2">
      <c r="A142">
        <v>34.866468842729972</v>
      </c>
      <c r="B142">
        <v>110</v>
      </c>
    </row>
    <row r="143" spans="1:2">
      <c r="A143">
        <v>35.163204747774479</v>
      </c>
      <c r="B143">
        <v>110</v>
      </c>
    </row>
    <row r="144" spans="1:2">
      <c r="A144">
        <v>35.459940652818993</v>
      </c>
      <c r="B144">
        <v>112</v>
      </c>
    </row>
    <row r="145" spans="1:2">
      <c r="A145">
        <v>35.7566765578635</v>
      </c>
      <c r="B145">
        <v>113</v>
      </c>
    </row>
    <row r="146" spans="1:2">
      <c r="A146">
        <v>36.053412462908014</v>
      </c>
      <c r="B146">
        <v>113</v>
      </c>
    </row>
    <row r="147" spans="1:2">
      <c r="A147">
        <v>36.350148367952521</v>
      </c>
      <c r="B147">
        <v>114</v>
      </c>
    </row>
    <row r="148" spans="1:2">
      <c r="A148">
        <v>36.646884272997035</v>
      </c>
      <c r="B148">
        <v>114</v>
      </c>
    </row>
    <row r="149" spans="1:2">
      <c r="A149">
        <v>36.943620178041542</v>
      </c>
      <c r="B149">
        <v>115</v>
      </c>
    </row>
    <row r="150" spans="1:2">
      <c r="A150">
        <v>37.240356083086056</v>
      </c>
      <c r="B150">
        <v>116</v>
      </c>
    </row>
    <row r="151" spans="1:2">
      <c r="A151">
        <v>37.537091988130562</v>
      </c>
      <c r="B151">
        <v>116</v>
      </c>
    </row>
    <row r="152" spans="1:2">
      <c r="A152">
        <v>37.833827893175076</v>
      </c>
      <c r="B152">
        <v>116</v>
      </c>
    </row>
    <row r="153" spans="1:2">
      <c r="A153">
        <v>38.130563798219583</v>
      </c>
      <c r="B153">
        <v>116</v>
      </c>
    </row>
    <row r="154" spans="1:2">
      <c r="A154">
        <v>38.42729970326409</v>
      </c>
      <c r="B154">
        <v>117</v>
      </c>
    </row>
    <row r="155" spans="1:2">
      <c r="A155">
        <v>38.724035608308604</v>
      </c>
      <c r="B155">
        <v>117</v>
      </c>
    </row>
    <row r="156" spans="1:2">
      <c r="A156">
        <v>39.020771513353111</v>
      </c>
      <c r="B156">
        <v>117</v>
      </c>
    </row>
    <row r="157" spans="1:2">
      <c r="A157">
        <v>39.317507418397625</v>
      </c>
      <c r="B157">
        <v>117</v>
      </c>
    </row>
    <row r="158" spans="1:2">
      <c r="A158">
        <v>39.614243323442132</v>
      </c>
      <c r="B158">
        <v>118</v>
      </c>
    </row>
    <row r="159" spans="1:2">
      <c r="A159">
        <v>39.910979228486646</v>
      </c>
      <c r="B159">
        <v>118</v>
      </c>
    </row>
    <row r="160" spans="1:2">
      <c r="A160">
        <v>40.207715133531153</v>
      </c>
      <c r="B160">
        <v>119</v>
      </c>
    </row>
    <row r="161" spans="1:2">
      <c r="A161">
        <v>40.504451038575667</v>
      </c>
      <c r="B161">
        <v>119</v>
      </c>
    </row>
    <row r="162" spans="1:2">
      <c r="A162">
        <v>40.801186943620174</v>
      </c>
      <c r="B162">
        <v>120</v>
      </c>
    </row>
    <row r="163" spans="1:2">
      <c r="A163">
        <v>41.097922848664687</v>
      </c>
      <c r="B163">
        <v>120</v>
      </c>
    </row>
    <row r="164" spans="1:2">
      <c r="A164">
        <v>41.394658753709194</v>
      </c>
      <c r="B164">
        <v>120</v>
      </c>
    </row>
    <row r="165" spans="1:2">
      <c r="A165">
        <v>41.691394658753708</v>
      </c>
      <c r="B165">
        <v>120</v>
      </c>
    </row>
    <row r="166" spans="1:2">
      <c r="A166">
        <v>41.988130563798215</v>
      </c>
      <c r="B166">
        <v>120</v>
      </c>
    </row>
    <row r="167" spans="1:2">
      <c r="A167">
        <v>42.284866468842729</v>
      </c>
      <c r="B167">
        <v>120</v>
      </c>
    </row>
    <row r="168" spans="1:2">
      <c r="A168">
        <v>42.581602373887236</v>
      </c>
      <c r="B168">
        <v>120</v>
      </c>
    </row>
    <row r="169" spans="1:2">
      <c r="A169">
        <v>42.87833827893175</v>
      </c>
      <c r="B169">
        <v>120</v>
      </c>
    </row>
    <row r="170" spans="1:2">
      <c r="A170">
        <v>43.175074183976257</v>
      </c>
      <c r="B170">
        <v>121</v>
      </c>
    </row>
    <row r="171" spans="1:2">
      <c r="A171">
        <v>43.471810089020771</v>
      </c>
      <c r="B171">
        <v>122</v>
      </c>
    </row>
    <row r="172" spans="1:2">
      <c r="A172">
        <v>43.768545994065278</v>
      </c>
      <c r="B172">
        <v>122</v>
      </c>
    </row>
    <row r="173" spans="1:2">
      <c r="A173">
        <v>44.065281899109792</v>
      </c>
      <c r="B173">
        <v>122</v>
      </c>
    </row>
    <row r="174" spans="1:2">
      <c r="A174">
        <v>44.362017804154299</v>
      </c>
      <c r="B174">
        <v>122</v>
      </c>
    </row>
    <row r="175" spans="1:2">
      <c r="A175">
        <v>44.658753709198812</v>
      </c>
      <c r="B175">
        <v>122</v>
      </c>
    </row>
    <row r="176" spans="1:2">
      <c r="A176">
        <v>44.955489614243319</v>
      </c>
      <c r="B176">
        <v>123</v>
      </c>
    </row>
    <row r="177" spans="1:2">
      <c r="A177">
        <v>45.252225519287833</v>
      </c>
      <c r="B177">
        <v>123</v>
      </c>
    </row>
    <row r="178" spans="1:2">
      <c r="A178">
        <v>45.54896142433234</v>
      </c>
      <c r="B178">
        <v>123</v>
      </c>
    </row>
    <row r="179" spans="1:2">
      <c r="A179">
        <v>45.845697329376854</v>
      </c>
      <c r="B179">
        <v>123</v>
      </c>
    </row>
    <row r="180" spans="1:2">
      <c r="A180">
        <v>46.142433234421361</v>
      </c>
      <c r="B180">
        <v>124</v>
      </c>
    </row>
    <row r="181" spans="1:2">
      <c r="A181">
        <v>46.439169139465875</v>
      </c>
      <c r="B181">
        <v>124</v>
      </c>
    </row>
    <row r="182" spans="1:2">
      <c r="A182">
        <v>46.735905044510382</v>
      </c>
      <c r="B182">
        <v>124</v>
      </c>
    </row>
    <row r="183" spans="1:2">
      <c r="A183">
        <v>47.032640949554896</v>
      </c>
      <c r="B183">
        <v>125</v>
      </c>
    </row>
    <row r="184" spans="1:2">
      <c r="A184">
        <v>47.329376854599403</v>
      </c>
      <c r="B184">
        <v>125</v>
      </c>
    </row>
    <row r="185" spans="1:2">
      <c r="A185">
        <v>47.626112759643917</v>
      </c>
      <c r="B185">
        <v>125</v>
      </c>
    </row>
    <row r="186" spans="1:2">
      <c r="A186">
        <v>47.922848664688424</v>
      </c>
      <c r="B186">
        <v>125</v>
      </c>
    </row>
    <row r="187" spans="1:2">
      <c r="A187">
        <v>48.219584569732937</v>
      </c>
      <c r="B187">
        <v>125</v>
      </c>
    </row>
    <row r="188" spans="1:2">
      <c r="A188">
        <v>48.516320474777444</v>
      </c>
      <c r="B188">
        <v>125</v>
      </c>
    </row>
    <row r="189" spans="1:2">
      <c r="A189">
        <v>48.813056379821958</v>
      </c>
      <c r="B189">
        <v>125</v>
      </c>
    </row>
    <row r="190" spans="1:2">
      <c r="A190">
        <v>49.109792284866465</v>
      </c>
      <c r="B190">
        <v>125</v>
      </c>
    </row>
    <row r="191" spans="1:2">
      <c r="A191">
        <v>49.406528189910979</v>
      </c>
      <c r="B191">
        <v>125</v>
      </c>
    </row>
    <row r="192" spans="1:2">
      <c r="A192">
        <v>49.703264094955486</v>
      </c>
      <c r="B192">
        <v>125</v>
      </c>
    </row>
    <row r="193" spans="1:2">
      <c r="A193">
        <v>50</v>
      </c>
      <c r="B193">
        <v>125</v>
      </c>
    </row>
    <row r="194" spans="1:2">
      <c r="A194">
        <v>50.296735905044507</v>
      </c>
      <c r="B194">
        <v>126</v>
      </c>
    </row>
    <row r="195" spans="1:2">
      <c r="A195">
        <v>50.593471810089021</v>
      </c>
      <c r="B195">
        <v>126</v>
      </c>
    </row>
    <row r="196" spans="1:2">
      <c r="A196">
        <v>50.890207715133528</v>
      </c>
      <c r="B196">
        <v>126</v>
      </c>
    </row>
    <row r="197" spans="1:2">
      <c r="A197">
        <v>51.186943620178042</v>
      </c>
      <c r="B197">
        <v>128</v>
      </c>
    </row>
    <row r="198" spans="1:2">
      <c r="A198">
        <v>51.483679525222549</v>
      </c>
      <c r="B198">
        <v>128</v>
      </c>
    </row>
    <row r="199" spans="1:2">
      <c r="A199">
        <v>51.780415430267063</v>
      </c>
      <c r="B199">
        <v>128</v>
      </c>
    </row>
    <row r="200" spans="1:2">
      <c r="A200">
        <v>52.077151335311569</v>
      </c>
      <c r="B200">
        <v>130</v>
      </c>
    </row>
    <row r="201" spans="1:2">
      <c r="A201">
        <v>52.373887240356083</v>
      </c>
      <c r="B201">
        <v>130</v>
      </c>
    </row>
    <row r="202" spans="1:2">
      <c r="A202">
        <v>52.67062314540059</v>
      </c>
      <c r="B202">
        <v>130</v>
      </c>
    </row>
    <row r="203" spans="1:2">
      <c r="A203">
        <v>52.967359050445104</v>
      </c>
      <c r="B203">
        <v>130</v>
      </c>
    </row>
    <row r="204" spans="1:2">
      <c r="A204">
        <v>53.264094955489611</v>
      </c>
      <c r="B204">
        <v>130</v>
      </c>
    </row>
    <row r="205" spans="1:2">
      <c r="A205">
        <v>53.560830860534125</v>
      </c>
      <c r="B205">
        <v>130</v>
      </c>
    </row>
    <row r="206" spans="1:2">
      <c r="A206">
        <v>53.857566765578632</v>
      </c>
      <c r="B206">
        <v>130</v>
      </c>
    </row>
    <row r="207" spans="1:2">
      <c r="A207">
        <v>54.154302670623146</v>
      </c>
      <c r="B207">
        <v>130</v>
      </c>
    </row>
    <row r="208" spans="1:2">
      <c r="A208">
        <v>54.451038575667653</v>
      </c>
      <c r="B208">
        <v>131</v>
      </c>
    </row>
    <row r="209" spans="1:2">
      <c r="A209">
        <v>54.747774480712167</v>
      </c>
      <c r="B209">
        <v>131</v>
      </c>
    </row>
    <row r="210" spans="1:2">
      <c r="A210">
        <v>55.044510385756674</v>
      </c>
      <c r="B210">
        <v>131</v>
      </c>
    </row>
    <row r="211" spans="1:2">
      <c r="A211">
        <v>55.341246290801188</v>
      </c>
      <c r="B211">
        <v>131</v>
      </c>
    </row>
    <row r="212" spans="1:2">
      <c r="A212">
        <v>55.637982195845694</v>
      </c>
      <c r="B212">
        <v>131</v>
      </c>
    </row>
    <row r="213" spans="1:2">
      <c r="A213">
        <v>55.934718100890208</v>
      </c>
      <c r="B213">
        <v>132</v>
      </c>
    </row>
    <row r="214" spans="1:2">
      <c r="A214">
        <v>56.231454005934715</v>
      </c>
      <c r="B214">
        <v>132</v>
      </c>
    </row>
    <row r="215" spans="1:2">
      <c r="A215">
        <v>56.528189910979229</v>
      </c>
      <c r="B215">
        <v>132</v>
      </c>
    </row>
    <row r="216" spans="1:2">
      <c r="A216">
        <v>56.824925816023736</v>
      </c>
      <c r="B216">
        <v>133</v>
      </c>
    </row>
    <row r="217" spans="1:2">
      <c r="A217">
        <v>57.121661721068243</v>
      </c>
      <c r="B217">
        <v>134</v>
      </c>
    </row>
    <row r="218" spans="1:2">
      <c r="A218">
        <v>57.418397626112757</v>
      </c>
      <c r="B218">
        <v>134</v>
      </c>
    </row>
    <row r="219" spans="1:2">
      <c r="A219">
        <v>57.715133531157264</v>
      </c>
      <c r="B219">
        <v>135</v>
      </c>
    </row>
    <row r="220" spans="1:2">
      <c r="A220">
        <v>58.011869436201778</v>
      </c>
      <c r="B220">
        <v>135</v>
      </c>
    </row>
    <row r="221" spans="1:2">
      <c r="A221">
        <v>58.308605341246285</v>
      </c>
      <c r="B221">
        <v>135</v>
      </c>
    </row>
    <row r="222" spans="1:2">
      <c r="A222">
        <v>58.605341246290799</v>
      </c>
      <c r="B222">
        <v>135</v>
      </c>
    </row>
    <row r="223" spans="1:2">
      <c r="A223">
        <v>58.902077151335305</v>
      </c>
      <c r="B223">
        <v>135</v>
      </c>
    </row>
    <row r="224" spans="1:2">
      <c r="A224">
        <v>59.198813056379819</v>
      </c>
      <c r="B224">
        <v>135</v>
      </c>
    </row>
    <row r="225" spans="1:2">
      <c r="A225">
        <v>59.495548961424326</v>
      </c>
      <c r="B225">
        <v>138</v>
      </c>
    </row>
    <row r="226" spans="1:2">
      <c r="A226">
        <v>59.79228486646884</v>
      </c>
      <c r="B226">
        <v>138</v>
      </c>
    </row>
    <row r="227" spans="1:2">
      <c r="A227">
        <v>60.089020771513347</v>
      </c>
      <c r="B227">
        <v>138</v>
      </c>
    </row>
    <row r="228" spans="1:2">
      <c r="A228">
        <v>60.385756676557861</v>
      </c>
      <c r="B228">
        <v>138</v>
      </c>
    </row>
    <row r="229" spans="1:2">
      <c r="A229">
        <v>60.682492581602368</v>
      </c>
      <c r="B229">
        <v>139</v>
      </c>
    </row>
    <row r="230" spans="1:2">
      <c r="A230">
        <v>60.979228486646882</v>
      </c>
      <c r="B230">
        <v>139</v>
      </c>
    </row>
    <row r="231" spans="1:2">
      <c r="A231">
        <v>61.275964391691389</v>
      </c>
      <c r="B231">
        <v>139</v>
      </c>
    </row>
    <row r="232" spans="1:2">
      <c r="A232">
        <v>61.572700296735903</v>
      </c>
      <c r="B232">
        <v>140</v>
      </c>
    </row>
    <row r="233" spans="1:2">
      <c r="A233">
        <v>61.86943620178041</v>
      </c>
      <c r="B233">
        <v>140</v>
      </c>
    </row>
    <row r="234" spans="1:2">
      <c r="A234">
        <v>62.166172106824924</v>
      </c>
      <c r="B234">
        <v>140</v>
      </c>
    </row>
    <row r="235" spans="1:2">
      <c r="A235">
        <v>62.46290801186943</v>
      </c>
      <c r="B235">
        <v>140</v>
      </c>
    </row>
    <row r="236" spans="1:2">
      <c r="A236">
        <v>62.759643916913944</v>
      </c>
      <c r="B236">
        <v>141</v>
      </c>
    </row>
    <row r="237" spans="1:2">
      <c r="A237">
        <v>63.056379821958451</v>
      </c>
      <c r="B237">
        <v>142</v>
      </c>
    </row>
    <row r="238" spans="1:2">
      <c r="A238">
        <v>63.353115727002965</v>
      </c>
      <c r="B238">
        <v>143</v>
      </c>
    </row>
    <row r="239" spans="1:2">
      <c r="A239">
        <v>63.649851632047472</v>
      </c>
      <c r="B239">
        <v>143</v>
      </c>
    </row>
    <row r="240" spans="1:2">
      <c r="A240">
        <v>63.946587537091986</v>
      </c>
      <c r="B240">
        <v>143</v>
      </c>
    </row>
    <row r="241" spans="1:2">
      <c r="A241">
        <v>64.243323442136486</v>
      </c>
      <c r="B241">
        <v>143</v>
      </c>
    </row>
    <row r="242" spans="1:2">
      <c r="A242">
        <v>64.540059347181</v>
      </c>
      <c r="B242">
        <v>144</v>
      </c>
    </row>
    <row r="243" spans="1:2">
      <c r="A243">
        <v>64.836795252225514</v>
      </c>
      <c r="B243">
        <v>144</v>
      </c>
    </row>
    <row r="244" spans="1:2">
      <c r="A244">
        <v>65.133531157270014</v>
      </c>
      <c r="B244">
        <v>145</v>
      </c>
    </row>
    <row r="245" spans="1:2">
      <c r="A245">
        <v>65.430267062314527</v>
      </c>
      <c r="B245">
        <v>145</v>
      </c>
    </row>
    <row r="246" spans="1:2">
      <c r="A246">
        <v>65.727002967359041</v>
      </c>
      <c r="B246">
        <v>146</v>
      </c>
    </row>
    <row r="247" spans="1:2">
      <c r="A247">
        <v>66.023738872403555</v>
      </c>
      <c r="B247">
        <v>146</v>
      </c>
    </row>
    <row r="248" spans="1:2">
      <c r="A248">
        <v>66.320474777448055</v>
      </c>
      <c r="B248">
        <v>147</v>
      </c>
    </row>
    <row r="249" spans="1:2">
      <c r="A249">
        <v>66.617210682492569</v>
      </c>
      <c r="B249">
        <v>147</v>
      </c>
    </row>
    <row r="250" spans="1:2">
      <c r="A250">
        <v>66.913946587537083</v>
      </c>
      <c r="B250">
        <v>147</v>
      </c>
    </row>
    <row r="251" spans="1:2">
      <c r="A251">
        <v>67.210682492581597</v>
      </c>
      <c r="B251">
        <v>148</v>
      </c>
    </row>
    <row r="252" spans="1:2">
      <c r="A252">
        <v>67.507418397626097</v>
      </c>
      <c r="B252">
        <v>148</v>
      </c>
    </row>
    <row r="253" spans="1:2">
      <c r="A253">
        <v>67.804154302670611</v>
      </c>
      <c r="B253">
        <v>148</v>
      </c>
    </row>
    <row r="254" spans="1:2">
      <c r="A254">
        <v>68.100890207715125</v>
      </c>
      <c r="B254">
        <v>149</v>
      </c>
    </row>
    <row r="255" spans="1:2">
      <c r="A255">
        <v>68.397626112759639</v>
      </c>
      <c r="B255">
        <v>149</v>
      </c>
    </row>
    <row r="256" spans="1:2">
      <c r="A256">
        <v>68.694362017804139</v>
      </c>
      <c r="B256">
        <v>149</v>
      </c>
    </row>
    <row r="257" spans="1:2">
      <c r="A257">
        <v>68.991097922848653</v>
      </c>
      <c r="B257">
        <v>150</v>
      </c>
    </row>
    <row r="258" spans="1:2">
      <c r="A258">
        <v>69.287833827893166</v>
      </c>
      <c r="B258">
        <v>150</v>
      </c>
    </row>
    <row r="259" spans="1:2">
      <c r="A259">
        <v>69.58456973293768</v>
      </c>
      <c r="B259">
        <v>150</v>
      </c>
    </row>
    <row r="260" spans="1:2">
      <c r="A260">
        <v>69.88130563798218</v>
      </c>
      <c r="B260">
        <v>150</v>
      </c>
    </row>
    <row r="261" spans="1:2">
      <c r="A261">
        <v>70.178041543026694</v>
      </c>
      <c r="B261">
        <v>150</v>
      </c>
    </row>
    <row r="262" spans="1:2">
      <c r="A262">
        <v>70.474777448071208</v>
      </c>
      <c r="B262">
        <v>150</v>
      </c>
    </row>
    <row r="263" spans="1:2">
      <c r="A263">
        <v>70.771513353115722</v>
      </c>
      <c r="B263">
        <v>150</v>
      </c>
    </row>
    <row r="264" spans="1:2">
      <c r="A264">
        <v>71.068249258160222</v>
      </c>
      <c r="B264">
        <v>150</v>
      </c>
    </row>
    <row r="265" spans="1:2">
      <c r="A265">
        <v>71.364985163204736</v>
      </c>
      <c r="B265">
        <v>150</v>
      </c>
    </row>
    <row r="266" spans="1:2">
      <c r="A266">
        <v>71.66172106824925</v>
      </c>
      <c r="B266">
        <v>150</v>
      </c>
    </row>
    <row r="267" spans="1:2">
      <c r="A267">
        <v>71.958456973293764</v>
      </c>
      <c r="B267">
        <v>150</v>
      </c>
    </row>
    <row r="268" spans="1:2">
      <c r="A268">
        <v>72.255192878338264</v>
      </c>
      <c r="B268">
        <v>150</v>
      </c>
    </row>
    <row r="269" spans="1:2">
      <c r="A269">
        <v>72.551928783382778</v>
      </c>
      <c r="B269">
        <v>151</v>
      </c>
    </row>
    <row r="270" spans="1:2">
      <c r="A270">
        <v>72.848664688427291</v>
      </c>
      <c r="B270">
        <v>152</v>
      </c>
    </row>
    <row r="271" spans="1:2">
      <c r="A271">
        <v>73.145400593471805</v>
      </c>
      <c r="B271">
        <v>152</v>
      </c>
    </row>
    <row r="272" spans="1:2">
      <c r="A272">
        <v>73.442136498516305</v>
      </c>
      <c r="B272">
        <v>152</v>
      </c>
    </row>
    <row r="273" spans="1:2">
      <c r="A273">
        <v>73.738872403560819</v>
      </c>
      <c r="B273">
        <v>153</v>
      </c>
    </row>
    <row r="274" spans="1:2">
      <c r="A274">
        <v>74.035608308605333</v>
      </c>
      <c r="B274">
        <v>155</v>
      </c>
    </row>
    <row r="275" spans="1:2">
      <c r="A275">
        <v>74.332344213649847</v>
      </c>
      <c r="B275">
        <v>157</v>
      </c>
    </row>
    <row r="276" spans="1:2">
      <c r="A276">
        <v>74.629080118694347</v>
      </c>
      <c r="B276">
        <v>158</v>
      </c>
    </row>
    <row r="277" spans="1:2">
      <c r="A277">
        <v>74.925816023738861</v>
      </c>
      <c r="B277">
        <v>159</v>
      </c>
    </row>
    <row r="278" spans="1:2">
      <c r="A278">
        <v>75.222551928783375</v>
      </c>
      <c r="B278">
        <v>160</v>
      </c>
    </row>
    <row r="279" spans="1:2">
      <c r="A279">
        <v>75.519287833827889</v>
      </c>
      <c r="B279">
        <v>160</v>
      </c>
    </row>
    <row r="280" spans="1:2">
      <c r="A280">
        <v>75.816023738872389</v>
      </c>
      <c r="B280">
        <v>160</v>
      </c>
    </row>
    <row r="281" spans="1:2">
      <c r="A281">
        <v>76.112759643916903</v>
      </c>
      <c r="B281">
        <v>160</v>
      </c>
    </row>
    <row r="282" spans="1:2">
      <c r="A282">
        <v>76.409495548961416</v>
      </c>
      <c r="B282">
        <v>160</v>
      </c>
    </row>
    <row r="283" spans="1:2">
      <c r="A283">
        <v>76.706231454005916</v>
      </c>
      <c r="B283">
        <v>162</v>
      </c>
    </row>
    <row r="284" spans="1:2">
      <c r="A284">
        <v>77.00296735905043</v>
      </c>
      <c r="B284">
        <v>162</v>
      </c>
    </row>
    <row r="285" spans="1:2">
      <c r="A285">
        <v>77.299703264094944</v>
      </c>
      <c r="B285">
        <v>162</v>
      </c>
    </row>
    <row r="286" spans="1:2">
      <c r="A286">
        <v>77.596439169139458</v>
      </c>
      <c r="B286">
        <v>162</v>
      </c>
    </row>
    <row r="287" spans="1:2">
      <c r="A287">
        <v>77.893175074183958</v>
      </c>
      <c r="B287">
        <v>163</v>
      </c>
    </row>
    <row r="288" spans="1:2">
      <c r="A288">
        <v>78.189910979228472</v>
      </c>
      <c r="B288">
        <v>165</v>
      </c>
    </row>
    <row r="289" spans="1:2">
      <c r="A289">
        <v>78.486646884272986</v>
      </c>
      <c r="B289">
        <v>165</v>
      </c>
    </row>
    <row r="290" spans="1:2">
      <c r="A290">
        <v>78.7833827893175</v>
      </c>
      <c r="B290">
        <v>165</v>
      </c>
    </row>
    <row r="291" spans="1:2">
      <c r="A291">
        <v>79.080118694362</v>
      </c>
      <c r="B291">
        <v>166</v>
      </c>
    </row>
    <row r="292" spans="1:2">
      <c r="A292">
        <v>79.376854599406514</v>
      </c>
      <c r="B292">
        <v>170</v>
      </c>
    </row>
    <row r="293" spans="1:2">
      <c r="A293">
        <v>79.673590504451028</v>
      </c>
      <c r="B293">
        <v>170</v>
      </c>
    </row>
    <row r="294" spans="1:2">
      <c r="A294">
        <v>79.970326409495541</v>
      </c>
      <c r="B294">
        <v>171</v>
      </c>
    </row>
    <row r="295" spans="1:2">
      <c r="A295">
        <v>80.267062314540041</v>
      </c>
      <c r="B295">
        <v>171</v>
      </c>
    </row>
    <row r="296" spans="1:2">
      <c r="A296">
        <v>80.563798219584555</v>
      </c>
      <c r="B296">
        <v>173</v>
      </c>
    </row>
    <row r="297" spans="1:2">
      <c r="A297">
        <v>80.860534124629069</v>
      </c>
      <c r="B297">
        <v>176</v>
      </c>
    </row>
    <row r="298" spans="1:2">
      <c r="A298">
        <v>81.157270029673583</v>
      </c>
      <c r="B298">
        <v>176</v>
      </c>
    </row>
    <row r="299" spans="1:2">
      <c r="A299">
        <v>81.454005934718083</v>
      </c>
      <c r="B299">
        <v>176</v>
      </c>
    </row>
    <row r="300" spans="1:2">
      <c r="A300">
        <v>81.750741839762597</v>
      </c>
      <c r="B300">
        <v>176</v>
      </c>
    </row>
    <row r="301" spans="1:2">
      <c r="A301">
        <v>82.047477744807111</v>
      </c>
      <c r="B301">
        <v>177</v>
      </c>
    </row>
    <row r="302" spans="1:2">
      <c r="A302">
        <v>82.344213649851625</v>
      </c>
      <c r="B302">
        <v>180</v>
      </c>
    </row>
    <row r="303" spans="1:2">
      <c r="A303">
        <v>82.640949554896125</v>
      </c>
      <c r="B303">
        <v>180</v>
      </c>
    </row>
    <row r="304" spans="1:2">
      <c r="A304">
        <v>82.937685459940639</v>
      </c>
      <c r="B304">
        <v>180</v>
      </c>
    </row>
    <row r="305" spans="1:2">
      <c r="A305">
        <v>83.234421364985153</v>
      </c>
      <c r="B305">
        <v>180</v>
      </c>
    </row>
    <row r="306" spans="1:2">
      <c r="A306">
        <v>83.531157270029667</v>
      </c>
      <c r="B306">
        <v>181</v>
      </c>
    </row>
    <row r="307" spans="1:2">
      <c r="A307">
        <v>83.827893175074166</v>
      </c>
      <c r="B307">
        <v>183</v>
      </c>
    </row>
    <row r="308" spans="1:2">
      <c r="A308">
        <v>84.12462908011868</v>
      </c>
      <c r="B308">
        <v>184</v>
      </c>
    </row>
    <row r="309" spans="1:2">
      <c r="A309">
        <v>84.421364985163194</v>
      </c>
      <c r="B309">
        <v>185</v>
      </c>
    </row>
    <row r="310" spans="1:2">
      <c r="A310">
        <v>84.718100890207708</v>
      </c>
      <c r="B310">
        <v>185</v>
      </c>
    </row>
    <row r="311" spans="1:2">
      <c r="A311">
        <v>85.014836795252208</v>
      </c>
      <c r="B311">
        <v>185</v>
      </c>
    </row>
    <row r="312" spans="1:2">
      <c r="A312">
        <v>85.311572700296722</v>
      </c>
      <c r="B312">
        <v>185</v>
      </c>
    </row>
    <row r="313" spans="1:2">
      <c r="A313">
        <v>85.608308605341236</v>
      </c>
      <c r="B313">
        <v>185</v>
      </c>
    </row>
    <row r="314" spans="1:2">
      <c r="A314">
        <v>85.90504451038575</v>
      </c>
      <c r="B314">
        <v>186</v>
      </c>
    </row>
    <row r="315" spans="1:2">
      <c r="A315">
        <v>86.20178041543025</v>
      </c>
      <c r="B315">
        <v>187</v>
      </c>
    </row>
    <row r="316" spans="1:2">
      <c r="A316">
        <v>86.498516320474764</v>
      </c>
      <c r="B316">
        <v>187</v>
      </c>
    </row>
    <row r="317" spans="1:2">
      <c r="A317">
        <v>86.795252225519278</v>
      </c>
      <c r="B317">
        <v>187</v>
      </c>
    </row>
    <row r="318" spans="1:2">
      <c r="A318">
        <v>87.091988130563792</v>
      </c>
      <c r="B318">
        <v>187</v>
      </c>
    </row>
    <row r="319" spans="1:2">
      <c r="A319">
        <v>87.388724035608291</v>
      </c>
      <c r="B319">
        <v>187</v>
      </c>
    </row>
    <row r="320" spans="1:2">
      <c r="A320">
        <v>87.685459940652805</v>
      </c>
      <c r="B320">
        <v>187</v>
      </c>
    </row>
    <row r="321" spans="1:2">
      <c r="A321">
        <v>87.982195845697319</v>
      </c>
      <c r="B321">
        <v>187</v>
      </c>
    </row>
    <row r="322" spans="1:2">
      <c r="A322">
        <v>88.278931750741833</v>
      </c>
      <c r="B322">
        <v>187</v>
      </c>
    </row>
    <row r="323" spans="1:2">
      <c r="A323">
        <v>88.575667655786333</v>
      </c>
      <c r="B323">
        <v>187</v>
      </c>
    </row>
    <row r="324" spans="1:2">
      <c r="A324">
        <v>88.872403560830847</v>
      </c>
      <c r="B324">
        <v>188</v>
      </c>
    </row>
    <row r="325" spans="1:2">
      <c r="A325">
        <v>89.169139465875361</v>
      </c>
      <c r="B325">
        <v>188</v>
      </c>
    </row>
    <row r="326" spans="1:2">
      <c r="A326">
        <v>89.465875370919875</v>
      </c>
      <c r="B326">
        <v>189</v>
      </c>
    </row>
    <row r="327" spans="1:2">
      <c r="A327">
        <v>89.762611275964375</v>
      </c>
      <c r="B327">
        <v>192</v>
      </c>
    </row>
    <row r="328" spans="1:2">
      <c r="A328">
        <v>90.059347181008889</v>
      </c>
      <c r="B328">
        <v>199</v>
      </c>
    </row>
    <row r="329" spans="1:2">
      <c r="A329">
        <v>90.356083086053403</v>
      </c>
      <c r="B329">
        <v>200</v>
      </c>
    </row>
    <row r="330" spans="1:2">
      <c r="A330">
        <v>90.652818991097917</v>
      </c>
      <c r="B330">
        <v>200</v>
      </c>
    </row>
    <row r="331" spans="1:2">
      <c r="A331">
        <v>90.949554896142416</v>
      </c>
      <c r="B331">
        <v>200</v>
      </c>
    </row>
    <row r="332" spans="1:2">
      <c r="A332">
        <v>91.24629080118693</v>
      </c>
      <c r="B332">
        <v>200</v>
      </c>
    </row>
    <row r="333" spans="1:2">
      <c r="A333">
        <v>91.543026706231444</v>
      </c>
      <c r="B333">
        <v>200</v>
      </c>
    </row>
    <row r="334" spans="1:2">
      <c r="A334">
        <v>91.839762611275958</v>
      </c>
      <c r="B334">
        <v>208</v>
      </c>
    </row>
    <row r="335" spans="1:2">
      <c r="A335">
        <v>92.136498516320458</v>
      </c>
      <c r="B335">
        <v>209</v>
      </c>
    </row>
    <row r="336" spans="1:2">
      <c r="A336">
        <v>92.433234421364972</v>
      </c>
      <c r="B336">
        <v>212</v>
      </c>
    </row>
    <row r="337" spans="1:2">
      <c r="A337">
        <v>92.729970326409486</v>
      </c>
      <c r="B337">
        <v>212</v>
      </c>
    </row>
    <row r="338" spans="1:2">
      <c r="A338">
        <v>93.026706231454</v>
      </c>
      <c r="B338">
        <v>212</v>
      </c>
    </row>
    <row r="339" spans="1:2">
      <c r="A339">
        <v>93.3234421364985</v>
      </c>
      <c r="B339">
        <v>213</v>
      </c>
    </row>
    <row r="340" spans="1:2">
      <c r="A340">
        <v>93.620178041543014</v>
      </c>
      <c r="B340">
        <v>214</v>
      </c>
    </row>
    <row r="341" spans="1:2">
      <c r="A341">
        <v>93.916913946587528</v>
      </c>
      <c r="B341">
        <v>225</v>
      </c>
    </row>
    <row r="342" spans="1:2">
      <c r="A342">
        <v>94.213649851632042</v>
      </c>
      <c r="B342">
        <v>232</v>
      </c>
    </row>
    <row r="343" spans="1:2">
      <c r="A343">
        <v>94.510385756676541</v>
      </c>
      <c r="B343">
        <v>234</v>
      </c>
    </row>
    <row r="344" spans="1:2">
      <c r="A344">
        <v>94.807121661721055</v>
      </c>
      <c r="B344">
        <v>235</v>
      </c>
    </row>
    <row r="345" spans="1:2">
      <c r="A345">
        <v>95.103857566765569</v>
      </c>
      <c r="B345">
        <v>240</v>
      </c>
    </row>
    <row r="346" spans="1:2">
      <c r="A346">
        <v>95.400593471810069</v>
      </c>
      <c r="B346">
        <v>256</v>
      </c>
    </row>
    <row r="347" spans="1:2">
      <c r="A347">
        <v>95.697329376854583</v>
      </c>
      <c r="B347">
        <v>257</v>
      </c>
    </row>
    <row r="348" spans="1:2">
      <c r="A348">
        <v>95.994065281899097</v>
      </c>
      <c r="B348">
        <v>260</v>
      </c>
    </row>
    <row r="349" spans="1:2">
      <c r="A349">
        <v>96.290801186943611</v>
      </c>
      <c r="B349">
        <v>275</v>
      </c>
    </row>
    <row r="350" spans="1:2">
      <c r="A350">
        <v>96.587537091988111</v>
      </c>
      <c r="B350">
        <v>280</v>
      </c>
    </row>
    <row r="351" spans="1:2">
      <c r="A351">
        <v>96.884272997032625</v>
      </c>
      <c r="B351">
        <v>290</v>
      </c>
    </row>
    <row r="352" spans="1:2">
      <c r="A352">
        <v>97.181008902077139</v>
      </c>
      <c r="B352">
        <v>297</v>
      </c>
    </row>
    <row r="353" spans="1:2">
      <c r="A353">
        <v>97.477744807121653</v>
      </c>
      <c r="B353">
        <v>300</v>
      </c>
    </row>
    <row r="354" spans="1:2">
      <c r="A354">
        <v>97.774480712166152</v>
      </c>
      <c r="B354">
        <v>300</v>
      </c>
    </row>
    <row r="355" spans="1:2">
      <c r="A355">
        <v>98.071216617210666</v>
      </c>
      <c r="B355">
        <v>300</v>
      </c>
    </row>
    <row r="356" spans="1:2">
      <c r="A356">
        <v>98.36795252225518</v>
      </c>
      <c r="B356">
        <v>336</v>
      </c>
    </row>
    <row r="357" spans="1:2">
      <c r="A357">
        <v>98.664688427299694</v>
      </c>
      <c r="B357">
        <v>360</v>
      </c>
    </row>
    <row r="358" spans="1:2">
      <c r="A358">
        <v>98.961424332344194</v>
      </c>
      <c r="B358">
        <v>390</v>
      </c>
    </row>
    <row r="359" spans="1:2">
      <c r="A359">
        <v>99.258160237388708</v>
      </c>
      <c r="B359">
        <v>412</v>
      </c>
    </row>
    <row r="360" spans="1:2">
      <c r="A360">
        <v>99.554896142433222</v>
      </c>
      <c r="B360">
        <v>460</v>
      </c>
    </row>
    <row r="361" spans="1:2" ht="13" thickBot="1">
      <c r="A361" s="3">
        <v>99.851632047477736</v>
      </c>
      <c r="B361" s="3">
        <v>550</v>
      </c>
    </row>
  </sheetData>
  <sortState xmlns:xlrd2="http://schemas.microsoft.com/office/spreadsheetml/2017/richdata2" ref="B25:B361">
    <sortCondition ref="B25"/>
  </sortState>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39"/>
  <sheetViews>
    <sheetView zoomScale="61" zoomScaleNormal="87" workbookViewId="0">
      <selection activeCell="H31" sqref="H31"/>
    </sheetView>
  </sheetViews>
  <sheetFormatPr defaultColWidth="8.453125" defaultRowHeight="12.5"/>
  <cols>
    <col min="1" max="1" width="16.453125" customWidth="1"/>
    <col min="2" max="2" width="12.36328125" customWidth="1"/>
    <col min="3" max="3" width="16.6328125" customWidth="1"/>
    <col min="4" max="4" width="22.1796875" style="1" customWidth="1"/>
    <col min="5" max="5" width="15.6328125" customWidth="1"/>
    <col min="6" max="6" width="21.1796875" customWidth="1"/>
    <col min="7" max="7" width="21.6328125" customWidth="1"/>
    <col min="8" max="8" width="23.36328125" customWidth="1"/>
    <col min="9" max="9" width="21.6328125" customWidth="1"/>
    <col min="10" max="10" width="26.6328125" customWidth="1"/>
    <col min="11" max="11" width="20.6328125" customWidth="1"/>
    <col min="12" max="12" width="22.453125" customWidth="1"/>
    <col min="13" max="13" width="21.90625" customWidth="1"/>
    <col min="14" max="14" width="28.453125" customWidth="1"/>
    <col min="15" max="15" width="25.26953125" customWidth="1"/>
    <col min="16" max="16" width="24" customWidth="1"/>
    <col min="17" max="17" width="24.36328125" customWidth="1"/>
  </cols>
  <sheetData>
    <row r="1" spans="1:17">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spans="1:17">
      <c r="A2" t="s">
        <v>17</v>
      </c>
      <c r="B2" t="s">
        <v>18</v>
      </c>
      <c r="C2" t="s">
        <v>19</v>
      </c>
      <c r="D2" s="1">
        <v>0</v>
      </c>
      <c r="E2" t="s">
        <v>20</v>
      </c>
      <c r="F2" t="s">
        <v>21</v>
      </c>
      <c r="G2">
        <v>5720</v>
      </c>
      <c r="H2">
        <v>0</v>
      </c>
      <c r="I2">
        <v>110</v>
      </c>
      <c r="J2">
        <v>360</v>
      </c>
      <c r="K2">
        <v>1</v>
      </c>
      <c r="L2" t="s">
        <v>22</v>
      </c>
      <c r="M2">
        <f>Table1[[#This Row],[ApplicantIncome]]+Table1[[#This Row],[CoapplicantIncome]]</f>
        <v>5720</v>
      </c>
      <c r="N2">
        <f>Table1[[#This Row],[LoanAmount]] /Table1[[#This Row],[Total_Income ]]</f>
        <v>1.9230769230769232E-2</v>
      </c>
      <c r="O2">
        <f>Table1[[#This Row],[LoanAmount]]/Table1[[#This Row],[Loan_Amount_Term]]</f>
        <v>0.30555555555555558</v>
      </c>
      <c r="P2">
        <f>IF(Table1[[#This Row],[Total_Income ]]&gt;=AVERAGE(Table1[[#This Row],[Total_Income ]]),1,0)</f>
        <v>1</v>
      </c>
      <c r="Q2">
        <f>IF(Table1[[#This Row],[LoanAmount]]&gt;=AVERAGE(Table1[[#This Row],[LoanAmount]]),1,0)</f>
        <v>1</v>
      </c>
    </row>
    <row r="3" spans="1:17">
      <c r="A3" t="s">
        <v>23</v>
      </c>
      <c r="B3" t="s">
        <v>18</v>
      </c>
      <c r="C3" t="s">
        <v>19</v>
      </c>
      <c r="D3" s="1">
        <v>1</v>
      </c>
      <c r="E3" t="s">
        <v>20</v>
      </c>
      <c r="F3" t="s">
        <v>21</v>
      </c>
      <c r="G3">
        <v>3076</v>
      </c>
      <c r="H3">
        <v>1500</v>
      </c>
      <c r="I3">
        <v>126</v>
      </c>
      <c r="J3">
        <v>360</v>
      </c>
      <c r="K3">
        <v>1</v>
      </c>
      <c r="L3" t="s">
        <v>22</v>
      </c>
      <c r="M3">
        <f>Table1[[#This Row],[ApplicantIncome]]+Table1[[#This Row],[CoapplicantIncome]]</f>
        <v>4576</v>
      </c>
      <c r="N3">
        <f>Table1[[#This Row],[LoanAmount]] /Table1[[#This Row],[Total_Income ]]</f>
        <v>2.7534965034965036E-2</v>
      </c>
      <c r="O3">
        <f>Table1[[#This Row],[LoanAmount]]/Table1[[#This Row],[Loan_Amount_Term]]</f>
        <v>0.35</v>
      </c>
      <c r="P3">
        <f>IF(Table1[[#This Row],[Total_Income ]]&gt;=AVERAGE(Table1[[#This Row],[Total_Income ]]),1,0)</f>
        <v>1</v>
      </c>
      <c r="Q3">
        <f>IF(Table1[[#This Row],[LoanAmount]]&gt;=AVERAGE(Table1[[#This Row],[LoanAmount]]),1,0)</f>
        <v>1</v>
      </c>
    </row>
    <row r="4" spans="1:17">
      <c r="A4" t="s">
        <v>24</v>
      </c>
      <c r="B4" t="s">
        <v>18</v>
      </c>
      <c r="C4" t="s">
        <v>19</v>
      </c>
      <c r="D4" s="1">
        <v>2</v>
      </c>
      <c r="E4" t="s">
        <v>20</v>
      </c>
      <c r="F4" t="s">
        <v>21</v>
      </c>
      <c r="G4">
        <v>5000</v>
      </c>
      <c r="H4">
        <v>1800</v>
      </c>
      <c r="I4">
        <v>208</v>
      </c>
      <c r="J4">
        <v>360</v>
      </c>
      <c r="K4">
        <v>1</v>
      </c>
      <c r="L4" t="s">
        <v>22</v>
      </c>
      <c r="M4">
        <f>Table1[[#This Row],[ApplicantIncome]]+Table1[[#This Row],[CoapplicantIncome]]</f>
        <v>6800</v>
      </c>
      <c r="N4">
        <f>Table1[[#This Row],[LoanAmount]] /Table1[[#This Row],[Total_Income ]]</f>
        <v>3.0588235294117649E-2</v>
      </c>
      <c r="O4">
        <f>Table1[[#This Row],[LoanAmount]]/Table1[[#This Row],[Loan_Amount_Term]]</f>
        <v>0.57777777777777772</v>
      </c>
      <c r="P4">
        <f>IF(Table1[[#This Row],[Total_Income ]]&gt;=AVERAGE(Table1[[#This Row],[Total_Income ]]),1,0)</f>
        <v>1</v>
      </c>
      <c r="Q4">
        <f>IF(Table1[[#This Row],[LoanAmount]]&gt;=AVERAGE(Table1[[#This Row],[LoanAmount]]),1,0)</f>
        <v>1</v>
      </c>
    </row>
    <row r="5" spans="1:17">
      <c r="A5" t="s">
        <v>25</v>
      </c>
      <c r="B5" t="s">
        <v>18</v>
      </c>
      <c r="C5" t="s">
        <v>19</v>
      </c>
      <c r="D5" s="1">
        <v>2</v>
      </c>
      <c r="E5" t="s">
        <v>20</v>
      </c>
      <c r="F5" t="s">
        <v>21</v>
      </c>
      <c r="G5">
        <v>2340</v>
      </c>
      <c r="H5">
        <v>2546</v>
      </c>
      <c r="I5">
        <v>100</v>
      </c>
      <c r="J5">
        <v>360</v>
      </c>
      <c r="K5">
        <v>1</v>
      </c>
      <c r="L5" t="s">
        <v>22</v>
      </c>
      <c r="M5">
        <f>Table1[[#This Row],[ApplicantIncome]]+Table1[[#This Row],[CoapplicantIncome]]</f>
        <v>4886</v>
      </c>
      <c r="N5">
        <f>Table1[[#This Row],[LoanAmount]] /Table1[[#This Row],[Total_Income ]]</f>
        <v>2.0466639377814164E-2</v>
      </c>
      <c r="O5">
        <f>Table1[[#This Row],[LoanAmount]]/Table1[[#This Row],[Loan_Amount_Term]]</f>
        <v>0.27777777777777779</v>
      </c>
      <c r="P5">
        <f>IF(Table1[[#This Row],[Total_Income ]]&gt;=AVERAGE(Table1[[#This Row],[Total_Income ]]),1,0)</f>
        <v>1</v>
      </c>
      <c r="Q5">
        <f>IF(Table1[[#This Row],[LoanAmount]]&gt;=AVERAGE(Table1[[#This Row],[LoanAmount]]),1,0)</f>
        <v>1</v>
      </c>
    </row>
    <row r="6" spans="1:17">
      <c r="A6" t="s">
        <v>26</v>
      </c>
      <c r="B6" t="s">
        <v>18</v>
      </c>
      <c r="C6" t="s">
        <v>21</v>
      </c>
      <c r="D6" s="1">
        <v>0</v>
      </c>
      <c r="E6" t="s">
        <v>27</v>
      </c>
      <c r="F6" t="s">
        <v>21</v>
      </c>
      <c r="G6">
        <v>3276</v>
      </c>
      <c r="H6">
        <v>0</v>
      </c>
      <c r="I6">
        <v>78</v>
      </c>
      <c r="J6">
        <v>360</v>
      </c>
      <c r="K6">
        <v>1</v>
      </c>
      <c r="L6" t="s">
        <v>22</v>
      </c>
      <c r="M6">
        <f>Table1[[#This Row],[ApplicantIncome]]+Table1[[#This Row],[CoapplicantIncome]]</f>
        <v>3276</v>
      </c>
      <c r="N6">
        <f>Table1[[#This Row],[LoanAmount]] /Table1[[#This Row],[Total_Income ]]</f>
        <v>2.3809523809523808E-2</v>
      </c>
      <c r="O6">
        <f>Table1[[#This Row],[LoanAmount]]/Table1[[#This Row],[Loan_Amount_Term]]</f>
        <v>0.21666666666666667</v>
      </c>
      <c r="P6">
        <f>IF(Table1[[#This Row],[Total_Income ]]&gt;=AVERAGE(Table1[[#This Row],[Total_Income ]]),1,0)</f>
        <v>1</v>
      </c>
      <c r="Q6">
        <f>IF(Table1[[#This Row],[LoanAmount]]&gt;=AVERAGE(Table1[[#This Row],[LoanAmount]]),1,0)</f>
        <v>1</v>
      </c>
    </row>
    <row r="7" spans="1:17">
      <c r="A7" t="s">
        <v>28</v>
      </c>
      <c r="B7" t="s">
        <v>18</v>
      </c>
      <c r="C7" t="s">
        <v>19</v>
      </c>
      <c r="D7" s="1">
        <v>0</v>
      </c>
      <c r="E7" t="s">
        <v>27</v>
      </c>
      <c r="F7" t="s">
        <v>19</v>
      </c>
      <c r="G7">
        <v>2165</v>
      </c>
      <c r="H7">
        <v>3422</v>
      </c>
      <c r="I7">
        <v>152</v>
      </c>
      <c r="J7">
        <v>360</v>
      </c>
      <c r="K7">
        <v>1</v>
      </c>
      <c r="L7" t="s">
        <v>22</v>
      </c>
      <c r="M7">
        <f>Table1[[#This Row],[ApplicantIncome]]+Table1[[#This Row],[CoapplicantIncome]]</f>
        <v>5587</v>
      </c>
      <c r="N7">
        <f>Table1[[#This Row],[LoanAmount]] /Table1[[#This Row],[Total_Income ]]</f>
        <v>2.7206013960980848E-2</v>
      </c>
      <c r="O7">
        <f>Table1[[#This Row],[LoanAmount]]/Table1[[#This Row],[Loan_Amount_Term]]</f>
        <v>0.42222222222222222</v>
      </c>
      <c r="P7">
        <f>IF(Table1[[#This Row],[Total_Income ]]&gt;=AVERAGE(Table1[[#This Row],[Total_Income ]]),1,0)</f>
        <v>1</v>
      </c>
      <c r="Q7">
        <f>IF(Table1[[#This Row],[LoanAmount]]&gt;=AVERAGE(Table1[[#This Row],[LoanAmount]]),1,0)</f>
        <v>1</v>
      </c>
    </row>
    <row r="8" spans="1:17">
      <c r="A8" t="s">
        <v>29</v>
      </c>
      <c r="B8" t="s">
        <v>30</v>
      </c>
      <c r="C8" t="s">
        <v>21</v>
      </c>
      <c r="D8" s="1">
        <v>1</v>
      </c>
      <c r="E8" t="s">
        <v>27</v>
      </c>
      <c r="F8" t="s">
        <v>21</v>
      </c>
      <c r="G8">
        <v>2226</v>
      </c>
      <c r="H8">
        <v>0</v>
      </c>
      <c r="I8">
        <v>59</v>
      </c>
      <c r="J8">
        <v>360</v>
      </c>
      <c r="K8">
        <v>0</v>
      </c>
      <c r="L8" t="s">
        <v>31</v>
      </c>
      <c r="M8">
        <f>Table1[[#This Row],[ApplicantIncome]]+Table1[[#This Row],[CoapplicantIncome]]</f>
        <v>2226</v>
      </c>
      <c r="N8">
        <f>Table1[[#This Row],[LoanAmount]] /Table1[[#This Row],[Total_Income ]]</f>
        <v>2.6504941599281222E-2</v>
      </c>
      <c r="O8">
        <f>Table1[[#This Row],[LoanAmount]]/Table1[[#This Row],[Loan_Amount_Term]]</f>
        <v>0.16388888888888889</v>
      </c>
      <c r="P8">
        <f>IF(Table1[[#This Row],[Total_Income ]]&gt;=AVERAGE(Table1[[#This Row],[Total_Income ]]),1,0)</f>
        <v>1</v>
      </c>
      <c r="Q8">
        <f>IF(Table1[[#This Row],[LoanAmount]]&gt;=AVERAGE(Table1[[#This Row],[LoanAmount]]),1,0)</f>
        <v>1</v>
      </c>
    </row>
    <row r="9" spans="1:17">
      <c r="A9" t="s">
        <v>32</v>
      </c>
      <c r="B9" t="s">
        <v>18</v>
      </c>
      <c r="C9" t="s">
        <v>19</v>
      </c>
      <c r="D9" s="1">
        <v>2</v>
      </c>
      <c r="E9" t="s">
        <v>27</v>
      </c>
      <c r="F9" t="s">
        <v>21</v>
      </c>
      <c r="G9">
        <v>3881</v>
      </c>
      <c r="H9">
        <v>0</v>
      </c>
      <c r="I9">
        <v>147</v>
      </c>
      <c r="J9">
        <v>360</v>
      </c>
      <c r="K9">
        <v>1</v>
      </c>
      <c r="L9" t="s">
        <v>33</v>
      </c>
      <c r="M9">
        <f>Table1[[#This Row],[ApplicantIncome]]+Table1[[#This Row],[CoapplicantIncome]]</f>
        <v>3881</v>
      </c>
      <c r="N9">
        <f>Table1[[#This Row],[LoanAmount]] /Table1[[#This Row],[Total_Income ]]</f>
        <v>3.787683586704458E-2</v>
      </c>
      <c r="O9">
        <f>Table1[[#This Row],[LoanAmount]]/Table1[[#This Row],[Loan_Amount_Term]]</f>
        <v>0.40833333333333333</v>
      </c>
      <c r="P9">
        <f>IF(Table1[[#This Row],[Total_Income ]]&gt;=AVERAGE(Table1[[#This Row],[Total_Income ]]),1,0)</f>
        <v>1</v>
      </c>
      <c r="Q9">
        <f>IF(Table1[[#This Row],[LoanAmount]]&gt;=AVERAGE(Table1[[#This Row],[LoanAmount]]),1,0)</f>
        <v>1</v>
      </c>
    </row>
    <row r="10" spans="1:17">
      <c r="A10" t="s">
        <v>34</v>
      </c>
      <c r="B10" t="s">
        <v>18</v>
      </c>
      <c r="C10" t="s">
        <v>19</v>
      </c>
      <c r="D10" s="1">
        <v>2</v>
      </c>
      <c r="E10" t="s">
        <v>20</v>
      </c>
      <c r="F10" t="s">
        <v>21</v>
      </c>
      <c r="G10">
        <v>13633</v>
      </c>
      <c r="H10">
        <v>0</v>
      </c>
      <c r="I10">
        <v>280</v>
      </c>
      <c r="J10">
        <v>240</v>
      </c>
      <c r="K10">
        <v>1</v>
      </c>
      <c r="L10" t="s">
        <v>22</v>
      </c>
      <c r="M10">
        <f>Table1[[#This Row],[ApplicantIncome]]+Table1[[#This Row],[CoapplicantIncome]]</f>
        <v>13633</v>
      </c>
      <c r="N10">
        <f>Table1[[#This Row],[LoanAmount]] /Table1[[#This Row],[Total_Income ]]</f>
        <v>2.0538399471869726E-2</v>
      </c>
      <c r="O10">
        <f>Table1[[#This Row],[LoanAmount]]/Table1[[#This Row],[Loan_Amount_Term]]</f>
        <v>1.1666666666666667</v>
      </c>
      <c r="P10">
        <f>IF(Table1[[#This Row],[Total_Income ]]&gt;=AVERAGE(Table1[[#This Row],[Total_Income ]]),1,0)</f>
        <v>1</v>
      </c>
      <c r="Q10">
        <f>IF(Table1[[#This Row],[LoanAmount]]&gt;=AVERAGE(Table1[[#This Row],[LoanAmount]]),1,0)</f>
        <v>1</v>
      </c>
    </row>
    <row r="11" spans="1:17">
      <c r="A11" t="s">
        <v>35</v>
      </c>
      <c r="B11" t="s">
        <v>18</v>
      </c>
      <c r="C11" t="s">
        <v>21</v>
      </c>
      <c r="D11" s="1">
        <v>0</v>
      </c>
      <c r="E11" t="s">
        <v>27</v>
      </c>
      <c r="F11" t="s">
        <v>21</v>
      </c>
      <c r="G11">
        <v>2400</v>
      </c>
      <c r="H11">
        <v>2400</v>
      </c>
      <c r="I11">
        <v>123</v>
      </c>
      <c r="J11">
        <v>360</v>
      </c>
      <c r="K11">
        <v>1</v>
      </c>
      <c r="L11" t="s">
        <v>31</v>
      </c>
      <c r="M11">
        <f>Table1[[#This Row],[ApplicantIncome]]+Table1[[#This Row],[CoapplicantIncome]]</f>
        <v>4800</v>
      </c>
      <c r="N11">
        <f>Table1[[#This Row],[LoanAmount]] /Table1[[#This Row],[Total_Income ]]</f>
        <v>2.5624999999999998E-2</v>
      </c>
      <c r="O11">
        <f>Table1[[#This Row],[LoanAmount]]/Table1[[#This Row],[Loan_Amount_Term]]</f>
        <v>0.34166666666666667</v>
      </c>
      <c r="P11">
        <f>IF(Table1[[#This Row],[Total_Income ]]&gt;=AVERAGE(Table1[[#This Row],[Total_Income ]]),1,0)</f>
        <v>1</v>
      </c>
      <c r="Q11">
        <f>IF(Table1[[#This Row],[LoanAmount]]&gt;=AVERAGE(Table1[[#This Row],[LoanAmount]]),1,0)</f>
        <v>1</v>
      </c>
    </row>
    <row r="12" spans="1:17">
      <c r="A12" t="s">
        <v>36</v>
      </c>
      <c r="B12" t="s">
        <v>18</v>
      </c>
      <c r="C12" t="s">
        <v>21</v>
      </c>
      <c r="D12" s="1">
        <v>0</v>
      </c>
      <c r="E12" t="s">
        <v>27</v>
      </c>
      <c r="F12" t="s">
        <v>21</v>
      </c>
      <c r="G12">
        <v>3091</v>
      </c>
      <c r="H12">
        <v>0</v>
      </c>
      <c r="I12">
        <v>90</v>
      </c>
      <c r="J12">
        <v>360</v>
      </c>
      <c r="K12">
        <v>1</v>
      </c>
      <c r="L12" t="s">
        <v>22</v>
      </c>
      <c r="M12">
        <f>Table1[[#This Row],[ApplicantIncome]]+Table1[[#This Row],[CoapplicantIncome]]</f>
        <v>3091</v>
      </c>
      <c r="N12">
        <f>Table1[[#This Row],[LoanAmount]] /Table1[[#This Row],[Total_Income ]]</f>
        <v>2.9116790682626983E-2</v>
      </c>
      <c r="O12">
        <f>Table1[[#This Row],[LoanAmount]]/Table1[[#This Row],[Loan_Amount_Term]]</f>
        <v>0.25</v>
      </c>
      <c r="P12">
        <f>IF(Table1[[#This Row],[Total_Income ]]&gt;=AVERAGE(Table1[[#This Row],[Total_Income ]]),1,0)</f>
        <v>1</v>
      </c>
      <c r="Q12">
        <f>IF(Table1[[#This Row],[LoanAmount]]&gt;=AVERAGE(Table1[[#This Row],[LoanAmount]]),1,0)</f>
        <v>1</v>
      </c>
    </row>
    <row r="13" spans="1:17">
      <c r="A13" t="s">
        <v>37</v>
      </c>
      <c r="B13" t="s">
        <v>18</v>
      </c>
      <c r="C13" t="s">
        <v>19</v>
      </c>
      <c r="D13" s="1">
        <v>1</v>
      </c>
      <c r="E13" t="s">
        <v>20</v>
      </c>
      <c r="F13" t="s">
        <v>21</v>
      </c>
      <c r="G13">
        <v>2185</v>
      </c>
      <c r="H13">
        <v>1516</v>
      </c>
      <c r="I13">
        <v>162</v>
      </c>
      <c r="J13">
        <v>360</v>
      </c>
      <c r="K13">
        <v>0</v>
      </c>
      <c r="L13" t="s">
        <v>31</v>
      </c>
      <c r="M13">
        <f>Table1[[#This Row],[ApplicantIncome]]+Table1[[#This Row],[CoapplicantIncome]]</f>
        <v>3701</v>
      </c>
      <c r="N13">
        <f>Table1[[#This Row],[LoanAmount]] /Table1[[#This Row],[Total_Income ]]</f>
        <v>4.3771953526074034E-2</v>
      </c>
      <c r="O13">
        <f>Table1[[#This Row],[LoanAmount]]/Table1[[#This Row],[Loan_Amount_Term]]</f>
        <v>0.45</v>
      </c>
      <c r="P13">
        <f>IF(Table1[[#This Row],[Total_Income ]]&gt;=AVERAGE(Table1[[#This Row],[Total_Income ]]),1,0)</f>
        <v>1</v>
      </c>
      <c r="Q13">
        <f>IF(Table1[[#This Row],[LoanAmount]]&gt;=AVERAGE(Table1[[#This Row],[LoanAmount]]),1,0)</f>
        <v>1</v>
      </c>
    </row>
    <row r="14" spans="1:17">
      <c r="A14" t="s">
        <v>38</v>
      </c>
      <c r="B14" t="s">
        <v>18</v>
      </c>
      <c r="C14" t="s">
        <v>21</v>
      </c>
      <c r="D14" s="1" t="s">
        <v>39</v>
      </c>
      <c r="E14" t="s">
        <v>20</v>
      </c>
      <c r="F14" t="s">
        <v>21</v>
      </c>
      <c r="G14">
        <v>4166</v>
      </c>
      <c r="H14">
        <v>0</v>
      </c>
      <c r="I14">
        <v>40</v>
      </c>
      <c r="J14">
        <v>180</v>
      </c>
      <c r="K14">
        <v>1</v>
      </c>
      <c r="L14" t="s">
        <v>22</v>
      </c>
      <c r="M14">
        <f>Table1[[#This Row],[ApplicantIncome]]+Table1[[#This Row],[CoapplicantIncome]]</f>
        <v>4166</v>
      </c>
      <c r="N14">
        <f>Table1[[#This Row],[LoanAmount]] /Table1[[#This Row],[Total_Income ]]</f>
        <v>9.6015362457993279E-3</v>
      </c>
      <c r="O14">
        <f>Table1[[#This Row],[LoanAmount]]/Table1[[#This Row],[Loan_Amount_Term]]</f>
        <v>0.22222222222222221</v>
      </c>
      <c r="P14">
        <f>IF(Table1[[#This Row],[Total_Income ]]&gt;=AVERAGE(Table1[[#This Row],[Total_Income ]]),1,0)</f>
        <v>1</v>
      </c>
      <c r="Q14">
        <f>IF(Table1[[#This Row],[LoanAmount]]&gt;=AVERAGE(Table1[[#This Row],[LoanAmount]]),1,0)</f>
        <v>1</v>
      </c>
    </row>
    <row r="15" spans="1:17">
      <c r="A15" t="s">
        <v>40</v>
      </c>
      <c r="B15" t="s">
        <v>18</v>
      </c>
      <c r="C15" t="s">
        <v>19</v>
      </c>
      <c r="D15" s="1">
        <v>2</v>
      </c>
      <c r="E15" t="s">
        <v>20</v>
      </c>
      <c r="F15" t="s">
        <v>21</v>
      </c>
      <c r="G15">
        <v>12173</v>
      </c>
      <c r="H15">
        <v>0</v>
      </c>
      <c r="I15">
        <v>166</v>
      </c>
      <c r="J15">
        <v>360</v>
      </c>
      <c r="K15">
        <v>1</v>
      </c>
      <c r="L15" t="s">
        <v>31</v>
      </c>
      <c r="M15">
        <f>Table1[[#This Row],[ApplicantIncome]]+Table1[[#This Row],[CoapplicantIncome]]</f>
        <v>12173</v>
      </c>
      <c r="N15">
        <f>Table1[[#This Row],[LoanAmount]] /Table1[[#This Row],[Total_Income ]]</f>
        <v>1.363673704099236E-2</v>
      </c>
      <c r="O15">
        <f>Table1[[#This Row],[LoanAmount]]/Table1[[#This Row],[Loan_Amount_Term]]</f>
        <v>0.46111111111111114</v>
      </c>
      <c r="P15">
        <f>IF(Table1[[#This Row],[Total_Income ]]&gt;=AVERAGE(Table1[[#This Row],[Total_Income ]]),1,0)</f>
        <v>1</v>
      </c>
      <c r="Q15">
        <f>IF(Table1[[#This Row],[LoanAmount]]&gt;=AVERAGE(Table1[[#This Row],[LoanAmount]]),1,0)</f>
        <v>1</v>
      </c>
    </row>
    <row r="16" spans="1:17">
      <c r="A16" t="s">
        <v>41</v>
      </c>
      <c r="B16" t="s">
        <v>30</v>
      </c>
      <c r="C16" t="s">
        <v>21</v>
      </c>
      <c r="D16" s="1">
        <v>0</v>
      </c>
      <c r="E16" t="s">
        <v>20</v>
      </c>
      <c r="F16" t="s">
        <v>21</v>
      </c>
      <c r="G16">
        <v>4666</v>
      </c>
      <c r="H16">
        <v>0</v>
      </c>
      <c r="I16">
        <v>124</v>
      </c>
      <c r="J16">
        <v>360</v>
      </c>
      <c r="K16">
        <v>1</v>
      </c>
      <c r="L16" t="s">
        <v>31</v>
      </c>
      <c r="M16">
        <f>Table1[[#This Row],[ApplicantIncome]]+Table1[[#This Row],[CoapplicantIncome]]</f>
        <v>4666</v>
      </c>
      <c r="N16">
        <f>Table1[[#This Row],[LoanAmount]] /Table1[[#This Row],[Total_Income ]]</f>
        <v>2.6575225032147449E-2</v>
      </c>
      <c r="O16">
        <f>Table1[[#This Row],[LoanAmount]]/Table1[[#This Row],[Loan_Amount_Term]]</f>
        <v>0.34444444444444444</v>
      </c>
      <c r="P16">
        <f>IF(Table1[[#This Row],[Total_Income ]]&gt;=AVERAGE(Table1[[#This Row],[Total_Income ]]),1,0)</f>
        <v>1</v>
      </c>
      <c r="Q16">
        <f>IF(Table1[[#This Row],[LoanAmount]]&gt;=AVERAGE(Table1[[#This Row],[LoanAmount]]),1,0)</f>
        <v>1</v>
      </c>
    </row>
    <row r="17" spans="1:17">
      <c r="A17" t="s">
        <v>42</v>
      </c>
      <c r="B17" t="s">
        <v>18</v>
      </c>
      <c r="C17" t="s">
        <v>21</v>
      </c>
      <c r="D17" s="1">
        <v>1</v>
      </c>
      <c r="E17" t="s">
        <v>20</v>
      </c>
      <c r="F17" t="s">
        <v>21</v>
      </c>
      <c r="G17">
        <v>5667</v>
      </c>
      <c r="H17">
        <v>0</v>
      </c>
      <c r="I17">
        <v>131</v>
      </c>
      <c r="J17">
        <v>360</v>
      </c>
      <c r="K17">
        <v>1</v>
      </c>
      <c r="L17" t="s">
        <v>22</v>
      </c>
      <c r="M17">
        <f>Table1[[#This Row],[ApplicantIncome]]+Table1[[#This Row],[CoapplicantIncome]]</f>
        <v>5667</v>
      </c>
      <c r="N17">
        <f>Table1[[#This Row],[LoanAmount]] /Table1[[#This Row],[Total_Income ]]</f>
        <v>2.3116287277218987E-2</v>
      </c>
      <c r="O17">
        <f>Table1[[#This Row],[LoanAmount]]/Table1[[#This Row],[Loan_Amount_Term]]</f>
        <v>0.36388888888888887</v>
      </c>
      <c r="P17">
        <f>IF(Table1[[#This Row],[Total_Income ]]&gt;=AVERAGE(Table1[[#This Row],[Total_Income ]]),1,0)</f>
        <v>1</v>
      </c>
      <c r="Q17">
        <f>IF(Table1[[#This Row],[LoanAmount]]&gt;=AVERAGE(Table1[[#This Row],[LoanAmount]]),1,0)</f>
        <v>1</v>
      </c>
    </row>
    <row r="18" spans="1:17">
      <c r="A18" t="s">
        <v>43</v>
      </c>
      <c r="B18" t="s">
        <v>18</v>
      </c>
      <c r="C18" t="s">
        <v>19</v>
      </c>
      <c r="D18" s="1">
        <v>2</v>
      </c>
      <c r="E18" t="s">
        <v>20</v>
      </c>
      <c r="F18" t="s">
        <v>21</v>
      </c>
      <c r="G18">
        <v>4583</v>
      </c>
      <c r="H18">
        <v>2916</v>
      </c>
      <c r="I18">
        <v>200</v>
      </c>
      <c r="J18">
        <v>360</v>
      </c>
      <c r="K18">
        <v>1</v>
      </c>
      <c r="L18" t="s">
        <v>22</v>
      </c>
      <c r="M18">
        <f>Table1[[#This Row],[ApplicantIncome]]+Table1[[#This Row],[CoapplicantIncome]]</f>
        <v>7499</v>
      </c>
      <c r="N18">
        <f>Table1[[#This Row],[LoanAmount]] /Table1[[#This Row],[Total_Income ]]</f>
        <v>2.6670222696359516E-2</v>
      </c>
      <c r="O18">
        <f>Table1[[#This Row],[LoanAmount]]/Table1[[#This Row],[Loan_Amount_Term]]</f>
        <v>0.55555555555555558</v>
      </c>
      <c r="P18">
        <f>IF(Table1[[#This Row],[Total_Income ]]&gt;=AVERAGE(Table1[[#This Row],[Total_Income ]]),1,0)</f>
        <v>1</v>
      </c>
      <c r="Q18">
        <f>IF(Table1[[#This Row],[LoanAmount]]&gt;=AVERAGE(Table1[[#This Row],[LoanAmount]]),1,0)</f>
        <v>1</v>
      </c>
    </row>
    <row r="19" spans="1:17">
      <c r="A19" t="s">
        <v>44</v>
      </c>
      <c r="B19" t="s">
        <v>18</v>
      </c>
      <c r="C19" t="s">
        <v>19</v>
      </c>
      <c r="D19" s="1" t="s">
        <v>39</v>
      </c>
      <c r="E19" t="s">
        <v>20</v>
      </c>
      <c r="F19" t="s">
        <v>21</v>
      </c>
      <c r="G19">
        <v>3786</v>
      </c>
      <c r="H19">
        <v>333</v>
      </c>
      <c r="I19">
        <v>126</v>
      </c>
      <c r="J19">
        <v>360</v>
      </c>
      <c r="K19">
        <v>1</v>
      </c>
      <c r="L19" t="s">
        <v>31</v>
      </c>
      <c r="M19">
        <f>Table1[[#This Row],[ApplicantIncome]]+Table1[[#This Row],[CoapplicantIncome]]</f>
        <v>4119</v>
      </c>
      <c r="N19">
        <f>Table1[[#This Row],[LoanAmount]] /Table1[[#This Row],[Total_Income ]]</f>
        <v>3.058994901675164E-2</v>
      </c>
      <c r="O19">
        <f>Table1[[#This Row],[LoanAmount]]/Table1[[#This Row],[Loan_Amount_Term]]</f>
        <v>0.35</v>
      </c>
      <c r="P19">
        <f>IF(Table1[[#This Row],[Total_Income ]]&gt;=AVERAGE(Table1[[#This Row],[Total_Income ]]),1,0)</f>
        <v>1</v>
      </c>
      <c r="Q19">
        <f>IF(Table1[[#This Row],[LoanAmount]]&gt;=AVERAGE(Table1[[#This Row],[LoanAmount]]),1,0)</f>
        <v>1</v>
      </c>
    </row>
    <row r="20" spans="1:17">
      <c r="A20" t="s">
        <v>45</v>
      </c>
      <c r="B20" t="s">
        <v>18</v>
      </c>
      <c r="C20" t="s">
        <v>19</v>
      </c>
      <c r="D20" s="1">
        <v>0</v>
      </c>
      <c r="E20" t="s">
        <v>20</v>
      </c>
      <c r="F20" t="s">
        <v>21</v>
      </c>
      <c r="G20">
        <v>9226</v>
      </c>
      <c r="H20">
        <v>7916</v>
      </c>
      <c r="I20">
        <v>300</v>
      </c>
      <c r="J20">
        <v>360</v>
      </c>
      <c r="K20">
        <v>1</v>
      </c>
      <c r="L20" t="s">
        <v>22</v>
      </c>
      <c r="M20">
        <f>Table1[[#This Row],[ApplicantIncome]]+Table1[[#This Row],[CoapplicantIncome]]</f>
        <v>17142</v>
      </c>
      <c r="N20">
        <f>Table1[[#This Row],[LoanAmount]] /Table1[[#This Row],[Total_Income ]]</f>
        <v>1.7500875043752188E-2</v>
      </c>
      <c r="O20">
        <f>Table1[[#This Row],[LoanAmount]]/Table1[[#This Row],[Loan_Amount_Term]]</f>
        <v>0.83333333333333337</v>
      </c>
      <c r="P20">
        <f>IF(Table1[[#This Row],[Total_Income ]]&gt;=AVERAGE(Table1[[#This Row],[Total_Income ]]),1,0)</f>
        <v>1</v>
      </c>
      <c r="Q20">
        <f>IF(Table1[[#This Row],[LoanAmount]]&gt;=AVERAGE(Table1[[#This Row],[LoanAmount]]),1,0)</f>
        <v>1</v>
      </c>
    </row>
    <row r="21" spans="1:17">
      <c r="A21" t="s">
        <v>46</v>
      </c>
      <c r="B21" t="s">
        <v>18</v>
      </c>
      <c r="C21" t="s">
        <v>21</v>
      </c>
      <c r="D21" s="1">
        <v>0</v>
      </c>
      <c r="E21" t="s">
        <v>20</v>
      </c>
      <c r="F21" t="s">
        <v>21</v>
      </c>
      <c r="G21">
        <v>1300</v>
      </c>
      <c r="H21">
        <v>3470</v>
      </c>
      <c r="I21">
        <v>100</v>
      </c>
      <c r="J21">
        <v>180</v>
      </c>
      <c r="K21">
        <v>1</v>
      </c>
      <c r="L21" t="s">
        <v>31</v>
      </c>
      <c r="M21">
        <f>Table1[[#This Row],[ApplicantIncome]]+Table1[[#This Row],[CoapplicantIncome]]</f>
        <v>4770</v>
      </c>
      <c r="N21">
        <f>Table1[[#This Row],[LoanAmount]] /Table1[[#This Row],[Total_Income ]]</f>
        <v>2.0964360587002098E-2</v>
      </c>
      <c r="O21">
        <f>Table1[[#This Row],[LoanAmount]]/Table1[[#This Row],[Loan_Amount_Term]]</f>
        <v>0.55555555555555558</v>
      </c>
      <c r="P21">
        <f>IF(Table1[[#This Row],[Total_Income ]]&gt;=AVERAGE(Table1[[#This Row],[Total_Income ]]),1,0)</f>
        <v>1</v>
      </c>
      <c r="Q21">
        <f>IF(Table1[[#This Row],[LoanAmount]]&gt;=AVERAGE(Table1[[#This Row],[LoanAmount]]),1,0)</f>
        <v>1</v>
      </c>
    </row>
    <row r="22" spans="1:17">
      <c r="A22" t="s">
        <v>47</v>
      </c>
      <c r="B22" t="s">
        <v>18</v>
      </c>
      <c r="C22" t="s">
        <v>19</v>
      </c>
      <c r="D22" s="1">
        <v>1</v>
      </c>
      <c r="E22" t="s">
        <v>27</v>
      </c>
      <c r="F22" t="s">
        <v>21</v>
      </c>
      <c r="G22">
        <v>1888</v>
      </c>
      <c r="H22">
        <v>1620</v>
      </c>
      <c r="I22">
        <v>48</v>
      </c>
      <c r="J22">
        <v>360</v>
      </c>
      <c r="K22">
        <v>1</v>
      </c>
      <c r="L22" t="s">
        <v>22</v>
      </c>
      <c r="M22">
        <f>Table1[[#This Row],[ApplicantIncome]]+Table1[[#This Row],[CoapplicantIncome]]</f>
        <v>3508</v>
      </c>
      <c r="N22">
        <f>Table1[[#This Row],[LoanAmount]] /Table1[[#This Row],[Total_Income ]]</f>
        <v>1.3683010262257697E-2</v>
      </c>
      <c r="O22">
        <f>Table1[[#This Row],[LoanAmount]]/Table1[[#This Row],[Loan_Amount_Term]]</f>
        <v>0.13333333333333333</v>
      </c>
      <c r="P22">
        <f>IF(Table1[[#This Row],[Total_Income ]]&gt;=AVERAGE(Table1[[#This Row],[Total_Income ]]),1,0)</f>
        <v>1</v>
      </c>
      <c r="Q22">
        <f>IF(Table1[[#This Row],[LoanAmount]]&gt;=AVERAGE(Table1[[#This Row],[LoanAmount]]),1,0)</f>
        <v>1</v>
      </c>
    </row>
    <row r="23" spans="1:17">
      <c r="A23" t="s">
        <v>48</v>
      </c>
      <c r="B23" t="s">
        <v>30</v>
      </c>
      <c r="C23" t="s">
        <v>21</v>
      </c>
      <c r="D23" s="1" t="s">
        <v>39</v>
      </c>
      <c r="E23" t="s">
        <v>27</v>
      </c>
      <c r="F23" t="s">
        <v>21</v>
      </c>
      <c r="G23">
        <v>2083</v>
      </c>
      <c r="H23">
        <v>0</v>
      </c>
      <c r="I23">
        <v>28</v>
      </c>
      <c r="J23">
        <v>180</v>
      </c>
      <c r="K23">
        <v>1</v>
      </c>
      <c r="L23" t="s">
        <v>22</v>
      </c>
      <c r="M23">
        <f>Table1[[#This Row],[ApplicantIncome]]+Table1[[#This Row],[CoapplicantIncome]]</f>
        <v>2083</v>
      </c>
      <c r="N23">
        <f>Table1[[#This Row],[LoanAmount]] /Table1[[#This Row],[Total_Income ]]</f>
        <v>1.344215074411906E-2</v>
      </c>
      <c r="O23">
        <f>Table1[[#This Row],[LoanAmount]]/Table1[[#This Row],[Loan_Amount_Term]]</f>
        <v>0.15555555555555556</v>
      </c>
      <c r="P23">
        <f>IF(Table1[[#This Row],[Total_Income ]]&gt;=AVERAGE(Table1[[#This Row],[Total_Income ]]),1,0)</f>
        <v>1</v>
      </c>
      <c r="Q23">
        <f>IF(Table1[[#This Row],[LoanAmount]]&gt;=AVERAGE(Table1[[#This Row],[LoanAmount]]),1,0)</f>
        <v>1</v>
      </c>
    </row>
    <row r="24" spans="1:17">
      <c r="A24" t="s">
        <v>49</v>
      </c>
      <c r="B24" t="s">
        <v>30</v>
      </c>
      <c r="C24" t="s">
        <v>21</v>
      </c>
      <c r="D24" s="1">
        <v>0</v>
      </c>
      <c r="E24" t="s">
        <v>20</v>
      </c>
      <c r="F24" t="s">
        <v>21</v>
      </c>
      <c r="G24">
        <v>3909</v>
      </c>
      <c r="H24">
        <v>0</v>
      </c>
      <c r="I24">
        <v>101</v>
      </c>
      <c r="J24">
        <v>360</v>
      </c>
      <c r="K24">
        <v>1</v>
      </c>
      <c r="L24" t="s">
        <v>22</v>
      </c>
      <c r="M24">
        <f>Table1[[#This Row],[ApplicantIncome]]+Table1[[#This Row],[CoapplicantIncome]]</f>
        <v>3909</v>
      </c>
      <c r="N24">
        <f>Table1[[#This Row],[LoanAmount]] /Table1[[#This Row],[Total_Income ]]</f>
        <v>2.5837810181632132E-2</v>
      </c>
      <c r="O24">
        <f>Table1[[#This Row],[LoanAmount]]/Table1[[#This Row],[Loan_Amount_Term]]</f>
        <v>0.28055555555555556</v>
      </c>
      <c r="P24">
        <f>IF(Table1[[#This Row],[Total_Income ]]&gt;=AVERAGE(Table1[[#This Row],[Total_Income ]]),1,0)</f>
        <v>1</v>
      </c>
      <c r="Q24">
        <f>IF(Table1[[#This Row],[LoanAmount]]&gt;=AVERAGE(Table1[[#This Row],[LoanAmount]]),1,0)</f>
        <v>1</v>
      </c>
    </row>
    <row r="25" spans="1:17">
      <c r="A25" t="s">
        <v>50</v>
      </c>
      <c r="B25" t="s">
        <v>18</v>
      </c>
      <c r="C25" t="s">
        <v>21</v>
      </c>
      <c r="D25" s="1">
        <v>0</v>
      </c>
      <c r="E25" t="s">
        <v>27</v>
      </c>
      <c r="F25" t="s">
        <v>21</v>
      </c>
      <c r="G25">
        <v>3765</v>
      </c>
      <c r="H25">
        <v>0</v>
      </c>
      <c r="I25">
        <v>125</v>
      </c>
      <c r="J25">
        <v>360</v>
      </c>
      <c r="K25">
        <v>0</v>
      </c>
      <c r="L25" t="s">
        <v>22</v>
      </c>
      <c r="M25">
        <f>Table1[[#This Row],[ApplicantIncome]]+Table1[[#This Row],[CoapplicantIncome]]</f>
        <v>3765</v>
      </c>
      <c r="N25">
        <f>Table1[[#This Row],[LoanAmount]] /Table1[[#This Row],[Total_Income ]]</f>
        <v>3.3200531208499334E-2</v>
      </c>
      <c r="O25">
        <f>Table1[[#This Row],[LoanAmount]]/Table1[[#This Row],[Loan_Amount_Term]]</f>
        <v>0.34722222222222221</v>
      </c>
      <c r="P25">
        <f>IF(Table1[[#This Row],[Total_Income ]]&gt;=AVERAGE(Table1[[#This Row],[Total_Income ]]),1,0)</f>
        <v>1</v>
      </c>
      <c r="Q25">
        <f>IF(Table1[[#This Row],[LoanAmount]]&gt;=AVERAGE(Table1[[#This Row],[LoanAmount]]),1,0)</f>
        <v>1</v>
      </c>
    </row>
    <row r="26" spans="1:17">
      <c r="A26" t="s">
        <v>51</v>
      </c>
      <c r="B26" t="s">
        <v>18</v>
      </c>
      <c r="C26" t="s">
        <v>19</v>
      </c>
      <c r="D26" s="1">
        <v>0</v>
      </c>
      <c r="E26" t="s">
        <v>20</v>
      </c>
      <c r="F26" t="s">
        <v>21</v>
      </c>
      <c r="G26">
        <v>5400</v>
      </c>
      <c r="H26">
        <v>4380</v>
      </c>
      <c r="I26">
        <v>290</v>
      </c>
      <c r="J26">
        <v>360</v>
      </c>
      <c r="K26">
        <v>1</v>
      </c>
      <c r="L26" t="s">
        <v>22</v>
      </c>
      <c r="M26">
        <f>Table1[[#This Row],[ApplicantIncome]]+Table1[[#This Row],[CoapplicantIncome]]</f>
        <v>9780</v>
      </c>
      <c r="N26">
        <f>Table1[[#This Row],[LoanAmount]] /Table1[[#This Row],[Total_Income ]]</f>
        <v>2.9652351738241309E-2</v>
      </c>
      <c r="O26">
        <f>Table1[[#This Row],[LoanAmount]]/Table1[[#This Row],[Loan_Amount_Term]]</f>
        <v>0.80555555555555558</v>
      </c>
      <c r="P26">
        <f>IF(Table1[[#This Row],[Total_Income ]]&gt;=AVERAGE(Table1[[#This Row],[Total_Income ]]),1,0)</f>
        <v>1</v>
      </c>
      <c r="Q26">
        <f>IF(Table1[[#This Row],[LoanAmount]]&gt;=AVERAGE(Table1[[#This Row],[LoanAmount]]),1,0)</f>
        <v>1</v>
      </c>
    </row>
    <row r="27" spans="1:17">
      <c r="A27" t="s">
        <v>52</v>
      </c>
      <c r="B27" t="s">
        <v>18</v>
      </c>
      <c r="C27" t="s">
        <v>21</v>
      </c>
      <c r="D27" s="1">
        <v>0</v>
      </c>
      <c r="E27" t="s">
        <v>20</v>
      </c>
      <c r="F27" t="s">
        <v>21</v>
      </c>
      <c r="G27">
        <v>0</v>
      </c>
      <c r="H27">
        <v>24000</v>
      </c>
      <c r="I27">
        <v>148</v>
      </c>
      <c r="J27">
        <v>360</v>
      </c>
      <c r="K27">
        <v>1</v>
      </c>
      <c r="L27" t="s">
        <v>33</v>
      </c>
      <c r="M27">
        <f>Table1[[#This Row],[ApplicantIncome]]+Table1[[#This Row],[CoapplicantIncome]]</f>
        <v>24000</v>
      </c>
      <c r="N27">
        <f>Table1[[#This Row],[LoanAmount]] /Table1[[#This Row],[Total_Income ]]</f>
        <v>6.1666666666666667E-3</v>
      </c>
      <c r="O27">
        <f>Table1[[#This Row],[LoanAmount]]/Table1[[#This Row],[Loan_Amount_Term]]</f>
        <v>0.41111111111111109</v>
      </c>
      <c r="P27">
        <f>IF(Table1[[#This Row],[Total_Income ]]&gt;=AVERAGE(Table1[[#This Row],[Total_Income ]]),1,0)</f>
        <v>1</v>
      </c>
      <c r="Q27">
        <f>IF(Table1[[#This Row],[LoanAmount]]&gt;=AVERAGE(Table1[[#This Row],[LoanAmount]]),1,0)</f>
        <v>1</v>
      </c>
    </row>
    <row r="28" spans="1:17">
      <c r="A28" t="s">
        <v>53</v>
      </c>
      <c r="B28" t="s">
        <v>18</v>
      </c>
      <c r="C28" t="s">
        <v>19</v>
      </c>
      <c r="D28" s="1">
        <v>2</v>
      </c>
      <c r="E28" t="s">
        <v>20</v>
      </c>
      <c r="F28" t="s">
        <v>21</v>
      </c>
      <c r="G28">
        <v>4363</v>
      </c>
      <c r="H28">
        <v>1250</v>
      </c>
      <c r="I28">
        <v>140</v>
      </c>
      <c r="J28">
        <v>360</v>
      </c>
      <c r="K28">
        <v>1</v>
      </c>
      <c r="L28" t="s">
        <v>22</v>
      </c>
      <c r="M28">
        <f>Table1[[#This Row],[ApplicantIncome]]+Table1[[#This Row],[CoapplicantIncome]]</f>
        <v>5613</v>
      </c>
      <c r="N28">
        <f>Table1[[#This Row],[LoanAmount]] /Table1[[#This Row],[Total_Income ]]</f>
        <v>2.4942098699447711E-2</v>
      </c>
      <c r="O28">
        <f>Table1[[#This Row],[LoanAmount]]/Table1[[#This Row],[Loan_Amount_Term]]</f>
        <v>0.3888888888888889</v>
      </c>
      <c r="P28">
        <f>IF(Table1[[#This Row],[Total_Income ]]&gt;=AVERAGE(Table1[[#This Row],[Total_Income ]]),1,0)</f>
        <v>1</v>
      </c>
      <c r="Q28">
        <f>IF(Table1[[#This Row],[LoanAmount]]&gt;=AVERAGE(Table1[[#This Row],[LoanAmount]]),1,0)</f>
        <v>1</v>
      </c>
    </row>
    <row r="29" spans="1:17">
      <c r="A29" t="s">
        <v>54</v>
      </c>
      <c r="B29" t="s">
        <v>18</v>
      </c>
      <c r="C29" t="s">
        <v>19</v>
      </c>
      <c r="D29" s="1">
        <v>0</v>
      </c>
      <c r="E29" t="s">
        <v>20</v>
      </c>
      <c r="F29" t="s">
        <v>21</v>
      </c>
      <c r="G29">
        <v>7500</v>
      </c>
      <c r="H29">
        <v>3750</v>
      </c>
      <c r="I29">
        <v>275</v>
      </c>
      <c r="J29">
        <v>360</v>
      </c>
      <c r="K29">
        <v>1</v>
      </c>
      <c r="L29" t="s">
        <v>22</v>
      </c>
      <c r="M29">
        <f>Table1[[#This Row],[ApplicantIncome]]+Table1[[#This Row],[CoapplicantIncome]]</f>
        <v>11250</v>
      </c>
      <c r="N29">
        <f>Table1[[#This Row],[LoanAmount]] /Table1[[#This Row],[Total_Income ]]</f>
        <v>2.4444444444444446E-2</v>
      </c>
      <c r="O29">
        <f>Table1[[#This Row],[LoanAmount]]/Table1[[#This Row],[Loan_Amount_Term]]</f>
        <v>0.76388888888888884</v>
      </c>
      <c r="P29">
        <f>IF(Table1[[#This Row],[Total_Income ]]&gt;=AVERAGE(Table1[[#This Row],[Total_Income ]]),1,0)</f>
        <v>1</v>
      </c>
      <c r="Q29">
        <f>IF(Table1[[#This Row],[LoanAmount]]&gt;=AVERAGE(Table1[[#This Row],[LoanAmount]]),1,0)</f>
        <v>1</v>
      </c>
    </row>
    <row r="30" spans="1:17">
      <c r="A30" t="s">
        <v>55</v>
      </c>
      <c r="B30" t="s">
        <v>18</v>
      </c>
      <c r="C30" t="s">
        <v>19</v>
      </c>
      <c r="D30" s="1">
        <v>0</v>
      </c>
      <c r="E30" t="s">
        <v>20</v>
      </c>
      <c r="F30" t="s">
        <v>21</v>
      </c>
      <c r="G30">
        <v>3772</v>
      </c>
      <c r="H30">
        <v>833</v>
      </c>
      <c r="I30">
        <v>57</v>
      </c>
      <c r="J30">
        <v>360</v>
      </c>
      <c r="K30">
        <v>1</v>
      </c>
      <c r="L30" t="s">
        <v>31</v>
      </c>
      <c r="M30">
        <f>Table1[[#This Row],[ApplicantIncome]]+Table1[[#This Row],[CoapplicantIncome]]</f>
        <v>4605</v>
      </c>
      <c r="N30">
        <f>Table1[[#This Row],[LoanAmount]] /Table1[[#This Row],[Total_Income ]]</f>
        <v>1.2377850162866449E-2</v>
      </c>
      <c r="O30">
        <f>Table1[[#This Row],[LoanAmount]]/Table1[[#This Row],[Loan_Amount_Term]]</f>
        <v>0.15833333333333333</v>
      </c>
      <c r="P30">
        <f>IF(Table1[[#This Row],[Total_Income ]]&gt;=AVERAGE(Table1[[#This Row],[Total_Income ]]),1,0)</f>
        <v>1</v>
      </c>
      <c r="Q30">
        <f>IF(Table1[[#This Row],[LoanAmount]]&gt;=AVERAGE(Table1[[#This Row],[LoanAmount]]),1,0)</f>
        <v>1</v>
      </c>
    </row>
    <row r="31" spans="1:17">
      <c r="A31" t="s">
        <v>56</v>
      </c>
      <c r="B31" t="s">
        <v>30</v>
      </c>
      <c r="C31" t="s">
        <v>21</v>
      </c>
      <c r="D31" s="1">
        <v>0</v>
      </c>
      <c r="E31" t="s">
        <v>20</v>
      </c>
      <c r="F31" t="s">
        <v>21</v>
      </c>
      <c r="G31">
        <v>2942</v>
      </c>
      <c r="H31">
        <v>2382</v>
      </c>
      <c r="I31">
        <v>125</v>
      </c>
      <c r="J31">
        <v>180</v>
      </c>
      <c r="K31">
        <v>1</v>
      </c>
      <c r="L31" t="s">
        <v>22</v>
      </c>
      <c r="M31">
        <f>Table1[[#This Row],[ApplicantIncome]]+Table1[[#This Row],[CoapplicantIncome]]</f>
        <v>5324</v>
      </c>
      <c r="N31">
        <f>Table1[[#This Row],[LoanAmount]] /Table1[[#This Row],[Total_Income ]]</f>
        <v>2.3478587528174305E-2</v>
      </c>
      <c r="O31">
        <f>Table1[[#This Row],[LoanAmount]]/Table1[[#This Row],[Loan_Amount_Term]]</f>
        <v>0.69444444444444442</v>
      </c>
      <c r="P31">
        <f>IF(Table1[[#This Row],[Total_Income ]]&gt;=AVERAGE(Table1[[#This Row],[Total_Income ]]),1,0)</f>
        <v>1</v>
      </c>
      <c r="Q31">
        <f>IF(Table1[[#This Row],[LoanAmount]]&gt;=AVERAGE(Table1[[#This Row],[LoanAmount]]),1,0)</f>
        <v>1</v>
      </c>
    </row>
    <row r="32" spans="1:17">
      <c r="A32" t="s">
        <v>57</v>
      </c>
      <c r="B32" t="s">
        <v>18</v>
      </c>
      <c r="C32" t="s">
        <v>21</v>
      </c>
      <c r="D32" s="1">
        <v>0</v>
      </c>
      <c r="E32" t="s">
        <v>27</v>
      </c>
      <c r="F32" t="s">
        <v>21</v>
      </c>
      <c r="G32">
        <v>2478</v>
      </c>
      <c r="H32">
        <v>0</v>
      </c>
      <c r="I32">
        <v>75</v>
      </c>
      <c r="J32">
        <v>360</v>
      </c>
      <c r="K32">
        <v>1</v>
      </c>
      <c r="L32" t="s">
        <v>31</v>
      </c>
      <c r="M32">
        <f>Table1[[#This Row],[ApplicantIncome]]+Table1[[#This Row],[CoapplicantIncome]]</f>
        <v>2478</v>
      </c>
      <c r="N32">
        <f>Table1[[#This Row],[LoanAmount]] /Table1[[#This Row],[Total_Income ]]</f>
        <v>3.026634382566586E-2</v>
      </c>
      <c r="O32">
        <f>Table1[[#This Row],[LoanAmount]]/Table1[[#This Row],[Loan_Amount_Term]]</f>
        <v>0.20833333333333334</v>
      </c>
      <c r="P32">
        <f>IF(Table1[[#This Row],[Total_Income ]]&gt;=AVERAGE(Table1[[#This Row],[Total_Income ]]),1,0)</f>
        <v>1</v>
      </c>
      <c r="Q32">
        <f>IF(Table1[[#This Row],[LoanAmount]]&gt;=AVERAGE(Table1[[#This Row],[LoanAmount]]),1,0)</f>
        <v>1</v>
      </c>
    </row>
    <row r="33" spans="1:17">
      <c r="A33" t="s">
        <v>58</v>
      </c>
      <c r="B33" t="s">
        <v>18</v>
      </c>
      <c r="C33" t="s">
        <v>19</v>
      </c>
      <c r="D33" s="1">
        <v>2</v>
      </c>
      <c r="E33" t="s">
        <v>20</v>
      </c>
      <c r="F33" t="s">
        <v>21</v>
      </c>
      <c r="G33">
        <v>6250</v>
      </c>
      <c r="H33">
        <v>820</v>
      </c>
      <c r="I33">
        <v>192</v>
      </c>
      <c r="J33">
        <v>360</v>
      </c>
      <c r="K33">
        <v>0</v>
      </c>
      <c r="L33" t="s">
        <v>22</v>
      </c>
      <c r="M33">
        <f>Table1[[#This Row],[ApplicantIncome]]+Table1[[#This Row],[CoapplicantIncome]]</f>
        <v>7070</v>
      </c>
      <c r="N33">
        <f>Table1[[#This Row],[LoanAmount]] /Table1[[#This Row],[Total_Income ]]</f>
        <v>2.7157001414427156E-2</v>
      </c>
      <c r="O33">
        <f>Table1[[#This Row],[LoanAmount]]/Table1[[#This Row],[Loan_Amount_Term]]</f>
        <v>0.53333333333333333</v>
      </c>
      <c r="P33">
        <f>IF(Table1[[#This Row],[Total_Income ]]&gt;=AVERAGE(Table1[[#This Row],[Total_Income ]]),1,0)</f>
        <v>1</v>
      </c>
      <c r="Q33">
        <f>IF(Table1[[#This Row],[LoanAmount]]&gt;=AVERAGE(Table1[[#This Row],[LoanAmount]]),1,0)</f>
        <v>1</v>
      </c>
    </row>
    <row r="34" spans="1:17">
      <c r="A34" t="s">
        <v>59</v>
      </c>
      <c r="B34" t="s">
        <v>18</v>
      </c>
      <c r="C34" t="s">
        <v>21</v>
      </c>
      <c r="D34" s="1">
        <v>0</v>
      </c>
      <c r="E34" t="s">
        <v>20</v>
      </c>
      <c r="F34" t="s">
        <v>21</v>
      </c>
      <c r="G34">
        <v>3268</v>
      </c>
      <c r="H34">
        <v>1683</v>
      </c>
      <c r="I34">
        <v>152</v>
      </c>
      <c r="J34">
        <v>360</v>
      </c>
      <c r="K34">
        <v>1</v>
      </c>
      <c r="L34" t="s">
        <v>31</v>
      </c>
      <c r="M34">
        <f>Table1[[#This Row],[ApplicantIncome]]+Table1[[#This Row],[CoapplicantIncome]]</f>
        <v>4951</v>
      </c>
      <c r="N34">
        <f>Table1[[#This Row],[LoanAmount]] /Table1[[#This Row],[Total_Income ]]</f>
        <v>3.0700868511411836E-2</v>
      </c>
      <c r="O34">
        <f>Table1[[#This Row],[LoanAmount]]/Table1[[#This Row],[Loan_Amount_Term]]</f>
        <v>0.42222222222222222</v>
      </c>
      <c r="P34">
        <f>IF(Table1[[#This Row],[Total_Income ]]&gt;=AVERAGE(Table1[[#This Row],[Total_Income ]]),1,0)</f>
        <v>1</v>
      </c>
      <c r="Q34">
        <f>IF(Table1[[#This Row],[LoanAmount]]&gt;=AVERAGE(Table1[[#This Row],[LoanAmount]]),1,0)</f>
        <v>1</v>
      </c>
    </row>
    <row r="35" spans="1:17">
      <c r="A35" t="s">
        <v>60</v>
      </c>
      <c r="B35" t="s">
        <v>18</v>
      </c>
      <c r="C35" t="s">
        <v>19</v>
      </c>
      <c r="D35" s="1">
        <v>0</v>
      </c>
      <c r="E35" t="s">
        <v>20</v>
      </c>
      <c r="F35" t="s">
        <v>19</v>
      </c>
      <c r="G35">
        <v>2783</v>
      </c>
      <c r="H35">
        <v>2708</v>
      </c>
      <c r="I35">
        <v>158</v>
      </c>
      <c r="J35">
        <v>360</v>
      </c>
      <c r="K35">
        <v>1</v>
      </c>
      <c r="L35" t="s">
        <v>22</v>
      </c>
      <c r="M35">
        <f>Table1[[#This Row],[ApplicantIncome]]+Table1[[#This Row],[CoapplicantIncome]]</f>
        <v>5491</v>
      </c>
      <c r="N35">
        <f>Table1[[#This Row],[LoanAmount]] /Table1[[#This Row],[Total_Income ]]</f>
        <v>2.8774358040429795E-2</v>
      </c>
      <c r="O35">
        <f>Table1[[#This Row],[LoanAmount]]/Table1[[#This Row],[Loan_Amount_Term]]</f>
        <v>0.43888888888888888</v>
      </c>
      <c r="P35">
        <f>IF(Table1[[#This Row],[Total_Income ]]&gt;=AVERAGE(Table1[[#This Row],[Total_Income ]]),1,0)</f>
        <v>1</v>
      </c>
      <c r="Q35">
        <f>IF(Table1[[#This Row],[LoanAmount]]&gt;=AVERAGE(Table1[[#This Row],[LoanAmount]]),1,0)</f>
        <v>1</v>
      </c>
    </row>
    <row r="36" spans="1:17">
      <c r="A36" t="s">
        <v>61</v>
      </c>
      <c r="B36" t="s">
        <v>18</v>
      </c>
      <c r="C36" t="s">
        <v>19</v>
      </c>
      <c r="D36" s="1">
        <v>0</v>
      </c>
      <c r="E36" t="s">
        <v>20</v>
      </c>
      <c r="F36" t="s">
        <v>19</v>
      </c>
      <c r="G36">
        <v>2740</v>
      </c>
      <c r="H36">
        <v>1541</v>
      </c>
      <c r="I36">
        <v>101</v>
      </c>
      <c r="J36">
        <v>360</v>
      </c>
      <c r="K36">
        <v>1</v>
      </c>
      <c r="L36" t="s">
        <v>22</v>
      </c>
      <c r="M36">
        <f>Table1[[#This Row],[ApplicantIncome]]+Table1[[#This Row],[CoapplicantIncome]]</f>
        <v>4281</v>
      </c>
      <c r="N36">
        <f>Table1[[#This Row],[LoanAmount]] /Table1[[#This Row],[Total_Income ]]</f>
        <v>2.3592618547068442E-2</v>
      </c>
      <c r="O36">
        <f>Table1[[#This Row],[LoanAmount]]/Table1[[#This Row],[Loan_Amount_Term]]</f>
        <v>0.28055555555555556</v>
      </c>
      <c r="P36">
        <f>IF(Table1[[#This Row],[Total_Income ]]&gt;=AVERAGE(Table1[[#This Row],[Total_Income ]]),1,0)</f>
        <v>1</v>
      </c>
      <c r="Q36">
        <f>IF(Table1[[#This Row],[LoanAmount]]&gt;=AVERAGE(Table1[[#This Row],[LoanAmount]]),1,0)</f>
        <v>1</v>
      </c>
    </row>
    <row r="37" spans="1:17">
      <c r="A37" t="s">
        <v>62</v>
      </c>
      <c r="B37" t="s">
        <v>18</v>
      </c>
      <c r="C37" t="s">
        <v>21</v>
      </c>
      <c r="D37" s="1">
        <v>0</v>
      </c>
      <c r="E37" t="s">
        <v>20</v>
      </c>
      <c r="F37" t="s">
        <v>21</v>
      </c>
      <c r="G37">
        <v>3150</v>
      </c>
      <c r="H37">
        <v>0</v>
      </c>
      <c r="I37">
        <v>176</v>
      </c>
      <c r="J37">
        <v>360</v>
      </c>
      <c r="K37">
        <v>1</v>
      </c>
      <c r="L37" t="s">
        <v>31</v>
      </c>
      <c r="M37">
        <f>Table1[[#This Row],[ApplicantIncome]]+Table1[[#This Row],[CoapplicantIncome]]</f>
        <v>3150</v>
      </c>
      <c r="N37">
        <f>Table1[[#This Row],[LoanAmount]] /Table1[[#This Row],[Total_Income ]]</f>
        <v>5.5873015873015873E-2</v>
      </c>
      <c r="O37">
        <f>Table1[[#This Row],[LoanAmount]]/Table1[[#This Row],[Loan_Amount_Term]]</f>
        <v>0.48888888888888887</v>
      </c>
      <c r="P37">
        <f>IF(Table1[[#This Row],[Total_Income ]]&gt;=AVERAGE(Table1[[#This Row],[Total_Income ]]),1,0)</f>
        <v>1</v>
      </c>
      <c r="Q37">
        <f>IF(Table1[[#This Row],[LoanAmount]]&gt;=AVERAGE(Table1[[#This Row],[LoanAmount]]),1,0)</f>
        <v>1</v>
      </c>
    </row>
    <row r="38" spans="1:17">
      <c r="A38" t="s">
        <v>63</v>
      </c>
      <c r="B38" t="s">
        <v>18</v>
      </c>
      <c r="C38" t="s">
        <v>19</v>
      </c>
      <c r="D38" s="1">
        <v>2</v>
      </c>
      <c r="E38" t="s">
        <v>20</v>
      </c>
      <c r="F38" t="s">
        <v>21</v>
      </c>
      <c r="G38">
        <v>7350</v>
      </c>
      <c r="H38">
        <v>4029</v>
      </c>
      <c r="I38">
        <v>185</v>
      </c>
      <c r="J38">
        <v>180</v>
      </c>
      <c r="K38">
        <v>1</v>
      </c>
      <c r="L38" t="s">
        <v>22</v>
      </c>
      <c r="M38">
        <f>Table1[[#This Row],[ApplicantIncome]]+Table1[[#This Row],[CoapplicantIncome]]</f>
        <v>11379</v>
      </c>
      <c r="N38">
        <f>Table1[[#This Row],[LoanAmount]] /Table1[[#This Row],[Total_Income ]]</f>
        <v>1.6258019158098252E-2</v>
      </c>
      <c r="O38">
        <f>Table1[[#This Row],[LoanAmount]]/Table1[[#This Row],[Loan_Amount_Term]]</f>
        <v>1.0277777777777777</v>
      </c>
      <c r="P38">
        <f>IF(Table1[[#This Row],[Total_Income ]]&gt;=AVERAGE(Table1[[#This Row],[Total_Income ]]),1,0)</f>
        <v>1</v>
      </c>
      <c r="Q38">
        <f>IF(Table1[[#This Row],[LoanAmount]]&gt;=AVERAGE(Table1[[#This Row],[LoanAmount]]),1,0)</f>
        <v>1</v>
      </c>
    </row>
    <row r="39" spans="1:17">
      <c r="A39" t="s">
        <v>64</v>
      </c>
      <c r="B39" t="s">
        <v>18</v>
      </c>
      <c r="C39" t="s">
        <v>19</v>
      </c>
      <c r="D39" s="1">
        <v>0</v>
      </c>
      <c r="E39" t="s">
        <v>20</v>
      </c>
      <c r="F39" t="s">
        <v>21</v>
      </c>
      <c r="G39">
        <v>2267</v>
      </c>
      <c r="H39">
        <v>2792</v>
      </c>
      <c r="I39">
        <v>90</v>
      </c>
      <c r="J39">
        <v>360</v>
      </c>
      <c r="K39">
        <v>1</v>
      </c>
      <c r="L39" t="s">
        <v>22</v>
      </c>
      <c r="M39">
        <f>Table1[[#This Row],[ApplicantIncome]]+Table1[[#This Row],[CoapplicantIncome]]</f>
        <v>5059</v>
      </c>
      <c r="N39">
        <f>Table1[[#This Row],[LoanAmount]] /Table1[[#This Row],[Total_Income ]]</f>
        <v>1.7790077090334058E-2</v>
      </c>
      <c r="O39">
        <f>Table1[[#This Row],[LoanAmount]]/Table1[[#This Row],[Loan_Amount_Term]]</f>
        <v>0.25</v>
      </c>
      <c r="P39">
        <f>IF(Table1[[#This Row],[Total_Income ]]&gt;=AVERAGE(Table1[[#This Row],[Total_Income ]]),1,0)</f>
        <v>1</v>
      </c>
      <c r="Q39">
        <f>IF(Table1[[#This Row],[LoanAmount]]&gt;=AVERAGE(Table1[[#This Row],[LoanAmount]]),1,0)</f>
        <v>1</v>
      </c>
    </row>
    <row r="40" spans="1:17">
      <c r="A40" t="s">
        <v>65</v>
      </c>
      <c r="B40" t="s">
        <v>18</v>
      </c>
      <c r="C40" t="s">
        <v>21</v>
      </c>
      <c r="D40" s="1">
        <v>0</v>
      </c>
      <c r="E40" t="s">
        <v>20</v>
      </c>
      <c r="F40" t="s">
        <v>21</v>
      </c>
      <c r="G40">
        <v>5833</v>
      </c>
      <c r="H40">
        <v>0</v>
      </c>
      <c r="I40">
        <v>116</v>
      </c>
      <c r="J40">
        <v>360</v>
      </c>
      <c r="K40">
        <v>1</v>
      </c>
      <c r="L40" t="s">
        <v>22</v>
      </c>
      <c r="M40">
        <f>Table1[[#This Row],[ApplicantIncome]]+Table1[[#This Row],[CoapplicantIncome]]</f>
        <v>5833</v>
      </c>
      <c r="N40">
        <f>Table1[[#This Row],[LoanAmount]] /Table1[[#This Row],[Total_Income ]]</f>
        <v>1.9886850677181555E-2</v>
      </c>
      <c r="O40">
        <f>Table1[[#This Row],[LoanAmount]]/Table1[[#This Row],[Loan_Amount_Term]]</f>
        <v>0.32222222222222224</v>
      </c>
      <c r="P40">
        <f>IF(Table1[[#This Row],[Total_Income ]]&gt;=AVERAGE(Table1[[#This Row],[Total_Income ]]),1,0)</f>
        <v>1</v>
      </c>
      <c r="Q40">
        <f>IF(Table1[[#This Row],[LoanAmount]]&gt;=AVERAGE(Table1[[#This Row],[LoanAmount]]),1,0)</f>
        <v>1</v>
      </c>
    </row>
    <row r="41" spans="1:17">
      <c r="A41" t="s">
        <v>66</v>
      </c>
      <c r="B41" t="s">
        <v>18</v>
      </c>
      <c r="C41" t="s">
        <v>21</v>
      </c>
      <c r="D41" s="1">
        <v>0</v>
      </c>
      <c r="E41" t="s">
        <v>20</v>
      </c>
      <c r="F41" t="s">
        <v>21</v>
      </c>
      <c r="G41">
        <v>3643</v>
      </c>
      <c r="H41">
        <v>1963</v>
      </c>
      <c r="I41">
        <v>138</v>
      </c>
      <c r="J41">
        <v>360</v>
      </c>
      <c r="K41">
        <v>1</v>
      </c>
      <c r="L41" t="s">
        <v>22</v>
      </c>
      <c r="M41">
        <f>Table1[[#This Row],[ApplicantIncome]]+Table1[[#This Row],[CoapplicantIncome]]</f>
        <v>5606</v>
      </c>
      <c r="N41">
        <f>Table1[[#This Row],[LoanAmount]] /Table1[[#This Row],[Total_Income ]]</f>
        <v>2.4616482340349626E-2</v>
      </c>
      <c r="O41">
        <f>Table1[[#This Row],[LoanAmount]]/Table1[[#This Row],[Loan_Amount_Term]]</f>
        <v>0.38333333333333336</v>
      </c>
      <c r="P41">
        <f>IF(Table1[[#This Row],[Total_Income ]]&gt;=AVERAGE(Table1[[#This Row],[Total_Income ]]),1,0)</f>
        <v>1</v>
      </c>
      <c r="Q41">
        <f>IF(Table1[[#This Row],[LoanAmount]]&gt;=AVERAGE(Table1[[#This Row],[LoanAmount]]),1,0)</f>
        <v>1</v>
      </c>
    </row>
    <row r="42" spans="1:17">
      <c r="A42" t="s">
        <v>67</v>
      </c>
      <c r="B42" t="s">
        <v>30</v>
      </c>
      <c r="C42" t="s">
        <v>19</v>
      </c>
      <c r="D42" s="1">
        <v>0</v>
      </c>
      <c r="E42" t="s">
        <v>20</v>
      </c>
      <c r="F42" t="s">
        <v>21</v>
      </c>
      <c r="G42">
        <v>5629</v>
      </c>
      <c r="H42">
        <v>818</v>
      </c>
      <c r="I42">
        <v>100</v>
      </c>
      <c r="J42">
        <v>360</v>
      </c>
      <c r="K42">
        <v>1</v>
      </c>
      <c r="L42" t="s">
        <v>22</v>
      </c>
      <c r="M42">
        <f>Table1[[#This Row],[ApplicantIncome]]+Table1[[#This Row],[CoapplicantIncome]]</f>
        <v>6447</v>
      </c>
      <c r="N42">
        <f>Table1[[#This Row],[LoanAmount]] /Table1[[#This Row],[Total_Income ]]</f>
        <v>1.5511090429657206E-2</v>
      </c>
      <c r="O42">
        <f>Table1[[#This Row],[LoanAmount]]/Table1[[#This Row],[Loan_Amount_Term]]</f>
        <v>0.27777777777777779</v>
      </c>
      <c r="P42">
        <f>IF(Table1[[#This Row],[Total_Income ]]&gt;=AVERAGE(Table1[[#This Row],[Total_Income ]]),1,0)</f>
        <v>1</v>
      </c>
      <c r="Q42">
        <f>IF(Table1[[#This Row],[LoanAmount]]&gt;=AVERAGE(Table1[[#This Row],[LoanAmount]]),1,0)</f>
        <v>1</v>
      </c>
    </row>
    <row r="43" spans="1:17">
      <c r="A43" t="s">
        <v>68</v>
      </c>
      <c r="B43" t="s">
        <v>18</v>
      </c>
      <c r="C43" t="s">
        <v>21</v>
      </c>
      <c r="D43" s="1">
        <v>0</v>
      </c>
      <c r="E43" t="s">
        <v>20</v>
      </c>
      <c r="F43" t="s">
        <v>21</v>
      </c>
      <c r="G43">
        <v>3644</v>
      </c>
      <c r="H43">
        <v>0</v>
      </c>
      <c r="I43">
        <v>110</v>
      </c>
      <c r="J43">
        <v>360</v>
      </c>
      <c r="K43">
        <v>1</v>
      </c>
      <c r="L43" t="s">
        <v>22</v>
      </c>
      <c r="M43">
        <f>Table1[[#This Row],[ApplicantIncome]]+Table1[[#This Row],[CoapplicantIncome]]</f>
        <v>3644</v>
      </c>
      <c r="N43">
        <f>Table1[[#This Row],[LoanAmount]] /Table1[[#This Row],[Total_Income ]]</f>
        <v>3.0186608122941824E-2</v>
      </c>
      <c r="O43">
        <f>Table1[[#This Row],[LoanAmount]]/Table1[[#This Row],[Loan_Amount_Term]]</f>
        <v>0.30555555555555558</v>
      </c>
      <c r="P43">
        <f>IF(Table1[[#This Row],[Total_Income ]]&gt;=AVERAGE(Table1[[#This Row],[Total_Income ]]),1,0)</f>
        <v>1</v>
      </c>
      <c r="Q43">
        <f>IF(Table1[[#This Row],[LoanAmount]]&gt;=AVERAGE(Table1[[#This Row],[LoanAmount]]),1,0)</f>
        <v>1</v>
      </c>
    </row>
    <row r="44" spans="1:17">
      <c r="A44" t="s">
        <v>69</v>
      </c>
      <c r="B44" t="s">
        <v>18</v>
      </c>
      <c r="C44" t="s">
        <v>19</v>
      </c>
      <c r="D44" s="1">
        <v>0</v>
      </c>
      <c r="E44" t="s">
        <v>27</v>
      </c>
      <c r="F44" t="s">
        <v>21</v>
      </c>
      <c r="G44">
        <v>1750</v>
      </c>
      <c r="H44">
        <v>2024</v>
      </c>
      <c r="I44">
        <v>90</v>
      </c>
      <c r="J44">
        <v>360</v>
      </c>
      <c r="K44">
        <v>1</v>
      </c>
      <c r="L44" t="s">
        <v>31</v>
      </c>
      <c r="M44">
        <f>Table1[[#This Row],[ApplicantIncome]]+Table1[[#This Row],[CoapplicantIncome]]</f>
        <v>3774</v>
      </c>
      <c r="N44">
        <f>Table1[[#This Row],[LoanAmount]] /Table1[[#This Row],[Total_Income ]]</f>
        <v>2.3847376788553261E-2</v>
      </c>
      <c r="O44">
        <f>Table1[[#This Row],[LoanAmount]]/Table1[[#This Row],[Loan_Amount_Term]]</f>
        <v>0.25</v>
      </c>
      <c r="P44">
        <f>IF(Table1[[#This Row],[Total_Income ]]&gt;=AVERAGE(Table1[[#This Row],[Total_Income ]]),1,0)</f>
        <v>1</v>
      </c>
      <c r="Q44">
        <f>IF(Table1[[#This Row],[LoanAmount]]&gt;=AVERAGE(Table1[[#This Row],[LoanAmount]]),1,0)</f>
        <v>1</v>
      </c>
    </row>
    <row r="45" spans="1:17">
      <c r="A45" t="s">
        <v>70</v>
      </c>
      <c r="B45" t="s">
        <v>30</v>
      </c>
      <c r="C45" t="s">
        <v>21</v>
      </c>
      <c r="D45" s="1">
        <v>0</v>
      </c>
      <c r="E45" t="s">
        <v>20</v>
      </c>
      <c r="F45" t="s">
        <v>21</v>
      </c>
      <c r="G45">
        <v>6500</v>
      </c>
      <c r="H45">
        <v>2600</v>
      </c>
      <c r="I45">
        <v>200</v>
      </c>
      <c r="J45">
        <v>360</v>
      </c>
      <c r="K45">
        <v>1</v>
      </c>
      <c r="L45" t="s">
        <v>31</v>
      </c>
      <c r="M45">
        <f>Table1[[#This Row],[ApplicantIncome]]+Table1[[#This Row],[CoapplicantIncome]]</f>
        <v>9100</v>
      </c>
      <c r="N45">
        <f>Table1[[#This Row],[LoanAmount]] /Table1[[#This Row],[Total_Income ]]</f>
        <v>2.197802197802198E-2</v>
      </c>
      <c r="O45">
        <f>Table1[[#This Row],[LoanAmount]]/Table1[[#This Row],[Loan_Amount_Term]]</f>
        <v>0.55555555555555558</v>
      </c>
      <c r="P45">
        <f>IF(Table1[[#This Row],[Total_Income ]]&gt;=AVERAGE(Table1[[#This Row],[Total_Income ]]),1,0)</f>
        <v>1</v>
      </c>
      <c r="Q45">
        <f>IF(Table1[[#This Row],[LoanAmount]]&gt;=AVERAGE(Table1[[#This Row],[LoanAmount]]),1,0)</f>
        <v>1</v>
      </c>
    </row>
    <row r="46" spans="1:17">
      <c r="A46" t="s">
        <v>71</v>
      </c>
      <c r="B46" t="s">
        <v>18</v>
      </c>
      <c r="C46" t="s">
        <v>21</v>
      </c>
      <c r="D46" s="1">
        <v>0</v>
      </c>
      <c r="E46" t="s">
        <v>20</v>
      </c>
      <c r="F46" t="s">
        <v>21</v>
      </c>
      <c r="G46">
        <v>3666</v>
      </c>
      <c r="H46">
        <v>0</v>
      </c>
      <c r="I46">
        <v>84</v>
      </c>
      <c r="J46">
        <v>360</v>
      </c>
      <c r="K46">
        <v>1</v>
      </c>
      <c r="L46" t="s">
        <v>22</v>
      </c>
      <c r="M46">
        <f>Table1[[#This Row],[ApplicantIncome]]+Table1[[#This Row],[CoapplicantIncome]]</f>
        <v>3666</v>
      </c>
      <c r="N46">
        <f>Table1[[#This Row],[LoanAmount]] /Table1[[#This Row],[Total_Income ]]</f>
        <v>2.2913256955810146E-2</v>
      </c>
      <c r="O46">
        <f>Table1[[#This Row],[LoanAmount]]/Table1[[#This Row],[Loan_Amount_Term]]</f>
        <v>0.23333333333333334</v>
      </c>
      <c r="P46">
        <f>IF(Table1[[#This Row],[Total_Income ]]&gt;=AVERAGE(Table1[[#This Row],[Total_Income ]]),1,0)</f>
        <v>1</v>
      </c>
      <c r="Q46">
        <f>IF(Table1[[#This Row],[LoanAmount]]&gt;=AVERAGE(Table1[[#This Row],[LoanAmount]]),1,0)</f>
        <v>1</v>
      </c>
    </row>
    <row r="47" spans="1:17">
      <c r="A47" t="s">
        <v>72</v>
      </c>
      <c r="B47" t="s">
        <v>18</v>
      </c>
      <c r="C47" t="s">
        <v>19</v>
      </c>
      <c r="D47" s="1">
        <v>0</v>
      </c>
      <c r="E47" t="s">
        <v>20</v>
      </c>
      <c r="F47" t="s">
        <v>19</v>
      </c>
      <c r="G47">
        <v>4260</v>
      </c>
      <c r="H47">
        <v>3900</v>
      </c>
      <c r="I47">
        <v>185</v>
      </c>
      <c r="J47">
        <v>360</v>
      </c>
      <c r="K47">
        <v>1</v>
      </c>
      <c r="L47" t="s">
        <v>22</v>
      </c>
      <c r="M47">
        <f>Table1[[#This Row],[ApplicantIncome]]+Table1[[#This Row],[CoapplicantIncome]]</f>
        <v>8160</v>
      </c>
      <c r="N47">
        <f>Table1[[#This Row],[LoanAmount]] /Table1[[#This Row],[Total_Income ]]</f>
        <v>2.267156862745098E-2</v>
      </c>
      <c r="O47">
        <f>Table1[[#This Row],[LoanAmount]]/Table1[[#This Row],[Loan_Amount_Term]]</f>
        <v>0.51388888888888884</v>
      </c>
      <c r="P47">
        <f>IF(Table1[[#This Row],[Total_Income ]]&gt;=AVERAGE(Table1[[#This Row],[Total_Income ]]),1,0)</f>
        <v>1</v>
      </c>
      <c r="Q47">
        <f>IF(Table1[[#This Row],[LoanAmount]]&gt;=AVERAGE(Table1[[#This Row],[LoanAmount]]),1,0)</f>
        <v>1</v>
      </c>
    </row>
    <row r="48" spans="1:17">
      <c r="A48" t="s">
        <v>73</v>
      </c>
      <c r="B48" t="s">
        <v>18</v>
      </c>
      <c r="C48" t="s">
        <v>19</v>
      </c>
      <c r="D48" s="1">
        <v>0</v>
      </c>
      <c r="E48" t="s">
        <v>27</v>
      </c>
      <c r="F48" t="s">
        <v>21</v>
      </c>
      <c r="G48">
        <v>4163</v>
      </c>
      <c r="H48">
        <v>1475</v>
      </c>
      <c r="I48">
        <v>162</v>
      </c>
      <c r="J48">
        <v>360</v>
      </c>
      <c r="K48">
        <v>1</v>
      </c>
      <c r="L48" t="s">
        <v>22</v>
      </c>
      <c r="M48">
        <f>Table1[[#This Row],[ApplicantIncome]]+Table1[[#This Row],[CoapplicantIncome]]</f>
        <v>5638</v>
      </c>
      <c r="N48">
        <f>Table1[[#This Row],[LoanAmount]] /Table1[[#This Row],[Total_Income ]]</f>
        <v>2.8733593472862716E-2</v>
      </c>
      <c r="O48">
        <f>Table1[[#This Row],[LoanAmount]]/Table1[[#This Row],[Loan_Amount_Term]]</f>
        <v>0.45</v>
      </c>
      <c r="P48">
        <f>IF(Table1[[#This Row],[Total_Income ]]&gt;=AVERAGE(Table1[[#This Row],[Total_Income ]]),1,0)</f>
        <v>1</v>
      </c>
      <c r="Q48">
        <f>IF(Table1[[#This Row],[LoanAmount]]&gt;=AVERAGE(Table1[[#This Row],[LoanAmount]]),1,0)</f>
        <v>1</v>
      </c>
    </row>
    <row r="49" spans="1:17">
      <c r="A49" t="s">
        <v>74</v>
      </c>
      <c r="B49" t="s">
        <v>18</v>
      </c>
      <c r="C49" t="s">
        <v>21</v>
      </c>
      <c r="D49" s="1">
        <v>0</v>
      </c>
      <c r="E49" t="s">
        <v>27</v>
      </c>
      <c r="F49" t="s">
        <v>21</v>
      </c>
      <c r="G49">
        <v>2356</v>
      </c>
      <c r="H49">
        <v>1902</v>
      </c>
      <c r="I49">
        <v>108</v>
      </c>
      <c r="J49">
        <v>360</v>
      </c>
      <c r="K49">
        <v>1</v>
      </c>
      <c r="L49" t="s">
        <v>31</v>
      </c>
      <c r="M49">
        <f>Table1[[#This Row],[ApplicantIncome]]+Table1[[#This Row],[CoapplicantIncome]]</f>
        <v>4258</v>
      </c>
      <c r="N49">
        <f>Table1[[#This Row],[LoanAmount]] /Table1[[#This Row],[Total_Income ]]</f>
        <v>2.5364020666979802E-2</v>
      </c>
      <c r="O49">
        <f>Table1[[#This Row],[LoanAmount]]/Table1[[#This Row],[Loan_Amount_Term]]</f>
        <v>0.3</v>
      </c>
      <c r="P49">
        <f>IF(Table1[[#This Row],[Total_Income ]]&gt;=AVERAGE(Table1[[#This Row],[Total_Income ]]),1,0)</f>
        <v>1</v>
      </c>
      <c r="Q49">
        <f>IF(Table1[[#This Row],[LoanAmount]]&gt;=AVERAGE(Table1[[#This Row],[LoanAmount]]),1,0)</f>
        <v>1</v>
      </c>
    </row>
    <row r="50" spans="1:17">
      <c r="A50" t="s">
        <v>75</v>
      </c>
      <c r="B50" t="s">
        <v>18</v>
      </c>
      <c r="C50" t="s">
        <v>21</v>
      </c>
      <c r="D50" s="1" t="s">
        <v>39</v>
      </c>
      <c r="E50" t="s">
        <v>20</v>
      </c>
      <c r="F50" t="s">
        <v>21</v>
      </c>
      <c r="G50">
        <v>6792</v>
      </c>
      <c r="H50">
        <v>3338</v>
      </c>
      <c r="I50">
        <v>187</v>
      </c>
      <c r="J50">
        <v>360</v>
      </c>
      <c r="K50">
        <v>1</v>
      </c>
      <c r="L50" t="s">
        <v>22</v>
      </c>
      <c r="M50">
        <f>Table1[[#This Row],[ApplicantIncome]]+Table1[[#This Row],[CoapplicantIncome]]</f>
        <v>10130</v>
      </c>
      <c r="N50">
        <f>Table1[[#This Row],[LoanAmount]] /Table1[[#This Row],[Total_Income ]]</f>
        <v>1.8460019743336623E-2</v>
      </c>
      <c r="O50">
        <f>Table1[[#This Row],[LoanAmount]]/Table1[[#This Row],[Loan_Amount_Term]]</f>
        <v>0.51944444444444449</v>
      </c>
      <c r="P50">
        <f>IF(Table1[[#This Row],[Total_Income ]]&gt;=AVERAGE(Table1[[#This Row],[Total_Income ]]),1,0)</f>
        <v>1</v>
      </c>
      <c r="Q50">
        <f>IF(Table1[[#This Row],[LoanAmount]]&gt;=AVERAGE(Table1[[#This Row],[LoanAmount]]),1,0)</f>
        <v>1</v>
      </c>
    </row>
    <row r="51" spans="1:17">
      <c r="A51" t="s">
        <v>76</v>
      </c>
      <c r="B51" t="s">
        <v>18</v>
      </c>
      <c r="C51" t="s">
        <v>19</v>
      </c>
      <c r="D51" s="1">
        <v>1</v>
      </c>
      <c r="E51" t="s">
        <v>27</v>
      </c>
      <c r="F51" t="s">
        <v>21</v>
      </c>
      <c r="G51">
        <v>8000</v>
      </c>
      <c r="H51">
        <v>250</v>
      </c>
      <c r="I51">
        <v>187</v>
      </c>
      <c r="J51">
        <v>360</v>
      </c>
      <c r="K51">
        <v>1</v>
      </c>
      <c r="L51" t="s">
        <v>31</v>
      </c>
      <c r="M51">
        <f>Table1[[#This Row],[ApplicantIncome]]+Table1[[#This Row],[CoapplicantIncome]]</f>
        <v>8250</v>
      </c>
      <c r="N51">
        <f>Table1[[#This Row],[LoanAmount]] /Table1[[#This Row],[Total_Income ]]</f>
        <v>2.2666666666666668E-2</v>
      </c>
      <c r="O51">
        <f>Table1[[#This Row],[LoanAmount]]/Table1[[#This Row],[Loan_Amount_Term]]</f>
        <v>0.51944444444444449</v>
      </c>
      <c r="P51">
        <f>IF(Table1[[#This Row],[Total_Income ]]&gt;=AVERAGE(Table1[[#This Row],[Total_Income ]]),1,0)</f>
        <v>1</v>
      </c>
      <c r="Q51">
        <f>IF(Table1[[#This Row],[LoanAmount]]&gt;=AVERAGE(Table1[[#This Row],[LoanAmount]]),1,0)</f>
        <v>1</v>
      </c>
    </row>
    <row r="52" spans="1:17">
      <c r="A52" t="s">
        <v>77</v>
      </c>
      <c r="B52" t="s">
        <v>18</v>
      </c>
      <c r="C52" t="s">
        <v>19</v>
      </c>
      <c r="D52" s="1" t="s">
        <v>39</v>
      </c>
      <c r="E52" t="s">
        <v>20</v>
      </c>
      <c r="F52" t="s">
        <v>19</v>
      </c>
      <c r="G52">
        <v>2419</v>
      </c>
      <c r="H52">
        <v>1707</v>
      </c>
      <c r="I52">
        <v>124</v>
      </c>
      <c r="J52">
        <v>360</v>
      </c>
      <c r="K52">
        <v>0</v>
      </c>
      <c r="L52" t="s">
        <v>22</v>
      </c>
      <c r="M52">
        <f>Table1[[#This Row],[ApplicantIncome]]+Table1[[#This Row],[CoapplicantIncome]]</f>
        <v>4126</v>
      </c>
      <c r="N52">
        <f>Table1[[#This Row],[LoanAmount]] /Table1[[#This Row],[Total_Income ]]</f>
        <v>3.0053320407174018E-2</v>
      </c>
      <c r="O52">
        <f>Table1[[#This Row],[LoanAmount]]/Table1[[#This Row],[Loan_Amount_Term]]</f>
        <v>0.34444444444444444</v>
      </c>
      <c r="P52">
        <f>IF(Table1[[#This Row],[Total_Income ]]&gt;=AVERAGE(Table1[[#This Row],[Total_Income ]]),1,0)</f>
        <v>1</v>
      </c>
      <c r="Q52">
        <f>IF(Table1[[#This Row],[LoanAmount]]&gt;=AVERAGE(Table1[[#This Row],[LoanAmount]]),1,0)</f>
        <v>1</v>
      </c>
    </row>
    <row r="53" spans="1:17">
      <c r="A53" t="s">
        <v>78</v>
      </c>
      <c r="B53" t="s">
        <v>18</v>
      </c>
      <c r="C53" t="s">
        <v>19</v>
      </c>
      <c r="D53" s="1">
        <v>1</v>
      </c>
      <c r="E53" t="s">
        <v>27</v>
      </c>
      <c r="F53" t="s">
        <v>21</v>
      </c>
      <c r="G53">
        <v>3500</v>
      </c>
      <c r="H53">
        <v>833</v>
      </c>
      <c r="I53">
        <v>120</v>
      </c>
      <c r="J53">
        <v>180</v>
      </c>
      <c r="K53">
        <v>1</v>
      </c>
      <c r="L53" t="s">
        <v>31</v>
      </c>
      <c r="M53">
        <f>Table1[[#This Row],[ApplicantIncome]]+Table1[[#This Row],[CoapplicantIncome]]</f>
        <v>4333</v>
      </c>
      <c r="N53">
        <f>Table1[[#This Row],[LoanAmount]] /Table1[[#This Row],[Total_Income ]]</f>
        <v>2.7694438033694899E-2</v>
      </c>
      <c r="O53">
        <f>Table1[[#This Row],[LoanAmount]]/Table1[[#This Row],[Loan_Amount_Term]]</f>
        <v>0.66666666666666663</v>
      </c>
      <c r="P53">
        <f>IF(Table1[[#This Row],[Total_Income ]]&gt;=AVERAGE(Table1[[#This Row],[Total_Income ]]),1,0)</f>
        <v>1</v>
      </c>
      <c r="Q53">
        <f>IF(Table1[[#This Row],[LoanAmount]]&gt;=AVERAGE(Table1[[#This Row],[LoanAmount]]),1,0)</f>
        <v>1</v>
      </c>
    </row>
    <row r="54" spans="1:17">
      <c r="A54" t="s">
        <v>79</v>
      </c>
      <c r="B54" t="s">
        <v>18</v>
      </c>
      <c r="C54" t="s">
        <v>19</v>
      </c>
      <c r="D54" s="1">
        <v>2</v>
      </c>
      <c r="E54" t="s">
        <v>20</v>
      </c>
      <c r="F54" t="s">
        <v>21</v>
      </c>
      <c r="G54">
        <v>3500</v>
      </c>
      <c r="H54">
        <v>3077</v>
      </c>
      <c r="I54">
        <v>160</v>
      </c>
      <c r="J54">
        <v>360</v>
      </c>
      <c r="K54">
        <v>1</v>
      </c>
      <c r="L54" t="s">
        <v>31</v>
      </c>
      <c r="M54">
        <f>Table1[[#This Row],[ApplicantIncome]]+Table1[[#This Row],[CoapplicantIncome]]</f>
        <v>6577</v>
      </c>
      <c r="N54">
        <f>Table1[[#This Row],[LoanAmount]] /Table1[[#This Row],[Total_Income ]]</f>
        <v>2.4327200851452031E-2</v>
      </c>
      <c r="O54">
        <f>Table1[[#This Row],[LoanAmount]]/Table1[[#This Row],[Loan_Amount_Term]]</f>
        <v>0.44444444444444442</v>
      </c>
      <c r="P54">
        <f>IF(Table1[[#This Row],[Total_Income ]]&gt;=AVERAGE(Table1[[#This Row],[Total_Income ]]),1,0)</f>
        <v>1</v>
      </c>
      <c r="Q54">
        <f>IF(Table1[[#This Row],[LoanAmount]]&gt;=AVERAGE(Table1[[#This Row],[LoanAmount]]),1,0)</f>
        <v>1</v>
      </c>
    </row>
    <row r="55" spans="1:17">
      <c r="A55" t="s">
        <v>80</v>
      </c>
      <c r="B55" t="s">
        <v>18</v>
      </c>
      <c r="C55" t="s">
        <v>19</v>
      </c>
      <c r="D55" s="1">
        <v>0</v>
      </c>
      <c r="E55" t="s">
        <v>20</v>
      </c>
      <c r="F55" t="s">
        <v>21</v>
      </c>
      <c r="G55">
        <v>4116</v>
      </c>
      <c r="H55">
        <v>1000</v>
      </c>
      <c r="I55">
        <v>30</v>
      </c>
      <c r="J55">
        <v>360</v>
      </c>
      <c r="K55">
        <v>0</v>
      </c>
      <c r="L55" t="s">
        <v>22</v>
      </c>
      <c r="M55">
        <f>Table1[[#This Row],[ApplicantIncome]]+Table1[[#This Row],[CoapplicantIncome]]</f>
        <v>5116</v>
      </c>
      <c r="N55">
        <f>Table1[[#This Row],[LoanAmount]] /Table1[[#This Row],[Total_Income ]]</f>
        <v>5.8639562157935888E-3</v>
      </c>
      <c r="O55">
        <f>Table1[[#This Row],[LoanAmount]]/Table1[[#This Row],[Loan_Amount_Term]]</f>
        <v>8.3333333333333329E-2</v>
      </c>
      <c r="P55">
        <f>IF(Table1[[#This Row],[Total_Income ]]&gt;=AVERAGE(Table1[[#This Row],[Total_Income ]]),1,0)</f>
        <v>1</v>
      </c>
      <c r="Q55">
        <f>IF(Table1[[#This Row],[LoanAmount]]&gt;=AVERAGE(Table1[[#This Row],[LoanAmount]]),1,0)</f>
        <v>1</v>
      </c>
    </row>
    <row r="56" spans="1:17">
      <c r="A56" t="s">
        <v>81</v>
      </c>
      <c r="B56" t="s">
        <v>30</v>
      </c>
      <c r="C56" t="s">
        <v>19</v>
      </c>
      <c r="D56" s="1">
        <v>0</v>
      </c>
      <c r="E56" t="s">
        <v>27</v>
      </c>
      <c r="F56" t="s">
        <v>21</v>
      </c>
      <c r="G56">
        <v>5293</v>
      </c>
      <c r="H56">
        <v>0</v>
      </c>
      <c r="I56">
        <v>92</v>
      </c>
      <c r="J56">
        <v>360</v>
      </c>
      <c r="K56">
        <v>1</v>
      </c>
      <c r="L56" t="s">
        <v>22</v>
      </c>
      <c r="M56">
        <f>Table1[[#This Row],[ApplicantIncome]]+Table1[[#This Row],[CoapplicantIncome]]</f>
        <v>5293</v>
      </c>
      <c r="N56">
        <f>Table1[[#This Row],[LoanAmount]] /Table1[[#This Row],[Total_Income ]]</f>
        <v>1.738144719440771E-2</v>
      </c>
      <c r="O56">
        <f>Table1[[#This Row],[LoanAmount]]/Table1[[#This Row],[Loan_Amount_Term]]</f>
        <v>0.25555555555555554</v>
      </c>
      <c r="P56">
        <f>IF(Table1[[#This Row],[Total_Income ]]&gt;=AVERAGE(Table1[[#This Row],[Total_Income ]]),1,0)</f>
        <v>1</v>
      </c>
      <c r="Q56">
        <f>IF(Table1[[#This Row],[LoanAmount]]&gt;=AVERAGE(Table1[[#This Row],[LoanAmount]]),1,0)</f>
        <v>1</v>
      </c>
    </row>
    <row r="57" spans="1:17">
      <c r="A57" t="s">
        <v>82</v>
      </c>
      <c r="B57" t="s">
        <v>18</v>
      </c>
      <c r="C57" t="s">
        <v>21</v>
      </c>
      <c r="D57" s="1">
        <v>0</v>
      </c>
      <c r="E57" t="s">
        <v>20</v>
      </c>
      <c r="F57" t="s">
        <v>21</v>
      </c>
      <c r="G57">
        <v>2750</v>
      </c>
      <c r="H57">
        <v>0</v>
      </c>
      <c r="I57">
        <v>130</v>
      </c>
      <c r="J57">
        <v>180</v>
      </c>
      <c r="K57">
        <v>1</v>
      </c>
      <c r="L57" t="s">
        <v>22</v>
      </c>
      <c r="M57">
        <f>Table1[[#This Row],[ApplicantIncome]]+Table1[[#This Row],[CoapplicantIncome]]</f>
        <v>2750</v>
      </c>
      <c r="N57">
        <f>Table1[[#This Row],[LoanAmount]] /Table1[[#This Row],[Total_Income ]]</f>
        <v>4.7272727272727272E-2</v>
      </c>
      <c r="O57">
        <f>Table1[[#This Row],[LoanAmount]]/Table1[[#This Row],[Loan_Amount_Term]]</f>
        <v>0.72222222222222221</v>
      </c>
      <c r="P57">
        <f>IF(Table1[[#This Row],[Total_Income ]]&gt;=AVERAGE(Table1[[#This Row],[Total_Income ]]),1,0)</f>
        <v>1</v>
      </c>
      <c r="Q57">
        <f>IF(Table1[[#This Row],[LoanAmount]]&gt;=AVERAGE(Table1[[#This Row],[LoanAmount]]),1,0)</f>
        <v>1</v>
      </c>
    </row>
    <row r="58" spans="1:17">
      <c r="A58" t="s">
        <v>83</v>
      </c>
      <c r="B58" t="s">
        <v>30</v>
      </c>
      <c r="C58" t="s">
        <v>21</v>
      </c>
      <c r="D58" s="1">
        <v>2</v>
      </c>
      <c r="E58" t="s">
        <v>27</v>
      </c>
      <c r="F58" t="s">
        <v>21</v>
      </c>
      <c r="G58">
        <v>4402</v>
      </c>
      <c r="H58">
        <v>0</v>
      </c>
      <c r="I58">
        <v>130</v>
      </c>
      <c r="J58">
        <v>360</v>
      </c>
      <c r="K58">
        <v>1</v>
      </c>
      <c r="L58" t="s">
        <v>33</v>
      </c>
      <c r="M58">
        <f>Table1[[#This Row],[ApplicantIncome]]+Table1[[#This Row],[CoapplicantIncome]]</f>
        <v>4402</v>
      </c>
      <c r="N58">
        <f>Table1[[#This Row],[LoanAmount]] /Table1[[#This Row],[Total_Income ]]</f>
        <v>2.9532030895047707E-2</v>
      </c>
      <c r="O58">
        <f>Table1[[#This Row],[LoanAmount]]/Table1[[#This Row],[Loan_Amount_Term]]</f>
        <v>0.3611111111111111</v>
      </c>
      <c r="P58">
        <f>IF(Table1[[#This Row],[Total_Income ]]&gt;=AVERAGE(Table1[[#This Row],[Total_Income ]]),1,0)</f>
        <v>1</v>
      </c>
      <c r="Q58">
        <f>IF(Table1[[#This Row],[LoanAmount]]&gt;=AVERAGE(Table1[[#This Row],[LoanAmount]]),1,0)</f>
        <v>1</v>
      </c>
    </row>
    <row r="59" spans="1:17">
      <c r="A59" t="s">
        <v>84</v>
      </c>
      <c r="B59" t="s">
        <v>18</v>
      </c>
      <c r="C59" t="s">
        <v>19</v>
      </c>
      <c r="D59" s="1">
        <v>2</v>
      </c>
      <c r="E59" t="s">
        <v>20</v>
      </c>
      <c r="F59" t="s">
        <v>19</v>
      </c>
      <c r="G59">
        <v>3613</v>
      </c>
      <c r="H59">
        <v>3539</v>
      </c>
      <c r="I59">
        <v>134</v>
      </c>
      <c r="J59">
        <v>180</v>
      </c>
      <c r="K59">
        <v>1</v>
      </c>
      <c r="L59" t="s">
        <v>31</v>
      </c>
      <c r="M59">
        <f>Table1[[#This Row],[ApplicantIncome]]+Table1[[#This Row],[CoapplicantIncome]]</f>
        <v>7152</v>
      </c>
      <c r="N59">
        <f>Table1[[#This Row],[LoanAmount]] /Table1[[#This Row],[Total_Income ]]</f>
        <v>1.8736017897091721E-2</v>
      </c>
      <c r="O59">
        <f>Table1[[#This Row],[LoanAmount]]/Table1[[#This Row],[Loan_Amount_Term]]</f>
        <v>0.74444444444444446</v>
      </c>
      <c r="P59">
        <f>IF(Table1[[#This Row],[Total_Income ]]&gt;=AVERAGE(Table1[[#This Row],[Total_Income ]]),1,0)</f>
        <v>1</v>
      </c>
      <c r="Q59">
        <f>IF(Table1[[#This Row],[LoanAmount]]&gt;=AVERAGE(Table1[[#This Row],[LoanAmount]]),1,0)</f>
        <v>1</v>
      </c>
    </row>
    <row r="60" spans="1:17">
      <c r="A60" t="s">
        <v>85</v>
      </c>
      <c r="B60" t="s">
        <v>18</v>
      </c>
      <c r="C60" t="s">
        <v>19</v>
      </c>
      <c r="D60" s="1" t="s">
        <v>39</v>
      </c>
      <c r="E60" t="s">
        <v>20</v>
      </c>
      <c r="F60" t="s">
        <v>21</v>
      </c>
      <c r="G60">
        <v>2779</v>
      </c>
      <c r="H60">
        <v>3664</v>
      </c>
      <c r="I60">
        <v>176</v>
      </c>
      <c r="J60">
        <v>360</v>
      </c>
      <c r="K60">
        <v>0</v>
      </c>
      <c r="L60" t="s">
        <v>31</v>
      </c>
      <c r="M60">
        <f>Table1[[#This Row],[ApplicantIncome]]+Table1[[#This Row],[CoapplicantIncome]]</f>
        <v>6443</v>
      </c>
      <c r="N60">
        <f>Table1[[#This Row],[LoanAmount]] /Table1[[#This Row],[Total_Income ]]</f>
        <v>2.7316467484091261E-2</v>
      </c>
      <c r="O60">
        <f>Table1[[#This Row],[LoanAmount]]/Table1[[#This Row],[Loan_Amount_Term]]</f>
        <v>0.48888888888888887</v>
      </c>
      <c r="P60">
        <f>IF(Table1[[#This Row],[Total_Income ]]&gt;=AVERAGE(Table1[[#This Row],[Total_Income ]]),1,0)</f>
        <v>1</v>
      </c>
      <c r="Q60">
        <f>IF(Table1[[#This Row],[LoanAmount]]&gt;=AVERAGE(Table1[[#This Row],[LoanAmount]]),1,0)</f>
        <v>1</v>
      </c>
    </row>
    <row r="61" spans="1:17">
      <c r="A61" t="s">
        <v>86</v>
      </c>
      <c r="B61" t="s">
        <v>18</v>
      </c>
      <c r="C61" t="s">
        <v>19</v>
      </c>
      <c r="D61" s="1">
        <v>0</v>
      </c>
      <c r="E61" t="s">
        <v>20</v>
      </c>
      <c r="F61" t="s">
        <v>21</v>
      </c>
      <c r="G61">
        <v>4720</v>
      </c>
      <c r="H61">
        <v>0</v>
      </c>
      <c r="I61">
        <v>90</v>
      </c>
      <c r="J61">
        <v>360</v>
      </c>
      <c r="K61">
        <v>1</v>
      </c>
      <c r="L61" t="s">
        <v>31</v>
      </c>
      <c r="M61">
        <f>Table1[[#This Row],[ApplicantIncome]]+Table1[[#This Row],[CoapplicantIncome]]</f>
        <v>4720</v>
      </c>
      <c r="N61">
        <f>Table1[[#This Row],[LoanAmount]] /Table1[[#This Row],[Total_Income ]]</f>
        <v>1.9067796610169493E-2</v>
      </c>
      <c r="O61">
        <f>Table1[[#This Row],[LoanAmount]]/Table1[[#This Row],[Loan_Amount_Term]]</f>
        <v>0.25</v>
      </c>
      <c r="P61">
        <f>IF(Table1[[#This Row],[Total_Income ]]&gt;=AVERAGE(Table1[[#This Row],[Total_Income ]]),1,0)</f>
        <v>1</v>
      </c>
      <c r="Q61">
        <f>IF(Table1[[#This Row],[LoanAmount]]&gt;=AVERAGE(Table1[[#This Row],[LoanAmount]]),1,0)</f>
        <v>1</v>
      </c>
    </row>
    <row r="62" spans="1:17">
      <c r="A62" t="s">
        <v>87</v>
      </c>
      <c r="B62" t="s">
        <v>30</v>
      </c>
      <c r="C62" t="s">
        <v>19</v>
      </c>
      <c r="D62" s="1">
        <v>0</v>
      </c>
      <c r="E62" t="s">
        <v>27</v>
      </c>
      <c r="F62" t="s">
        <v>21</v>
      </c>
      <c r="G62">
        <v>2415</v>
      </c>
      <c r="H62">
        <v>1721</v>
      </c>
      <c r="I62">
        <v>110</v>
      </c>
      <c r="J62">
        <v>360</v>
      </c>
      <c r="K62">
        <v>1</v>
      </c>
      <c r="L62" t="s">
        <v>31</v>
      </c>
      <c r="M62">
        <f>Table1[[#This Row],[ApplicantIncome]]+Table1[[#This Row],[CoapplicantIncome]]</f>
        <v>4136</v>
      </c>
      <c r="N62">
        <f>Table1[[#This Row],[LoanAmount]] /Table1[[#This Row],[Total_Income ]]</f>
        <v>2.6595744680851064E-2</v>
      </c>
      <c r="O62">
        <f>Table1[[#This Row],[LoanAmount]]/Table1[[#This Row],[Loan_Amount_Term]]</f>
        <v>0.30555555555555558</v>
      </c>
      <c r="P62">
        <f>IF(Table1[[#This Row],[Total_Income ]]&gt;=AVERAGE(Table1[[#This Row],[Total_Income ]]),1,0)</f>
        <v>1</v>
      </c>
      <c r="Q62">
        <f>IF(Table1[[#This Row],[LoanAmount]]&gt;=AVERAGE(Table1[[#This Row],[LoanAmount]]),1,0)</f>
        <v>1</v>
      </c>
    </row>
    <row r="63" spans="1:17">
      <c r="A63" t="s">
        <v>88</v>
      </c>
      <c r="B63" t="s">
        <v>30</v>
      </c>
      <c r="C63" t="s">
        <v>19</v>
      </c>
      <c r="D63" s="1">
        <v>2</v>
      </c>
      <c r="E63" t="s">
        <v>20</v>
      </c>
      <c r="F63" t="s">
        <v>21</v>
      </c>
      <c r="G63">
        <v>7016</v>
      </c>
      <c r="H63">
        <v>292</v>
      </c>
      <c r="I63">
        <v>125</v>
      </c>
      <c r="J63">
        <v>360</v>
      </c>
      <c r="K63">
        <v>0</v>
      </c>
      <c r="L63" t="s">
        <v>22</v>
      </c>
      <c r="M63">
        <f>Table1[[#This Row],[ApplicantIncome]]+Table1[[#This Row],[CoapplicantIncome]]</f>
        <v>7308</v>
      </c>
      <c r="N63">
        <f>Table1[[#This Row],[LoanAmount]] /Table1[[#This Row],[Total_Income ]]</f>
        <v>1.7104542966611933E-2</v>
      </c>
      <c r="O63">
        <f>Table1[[#This Row],[LoanAmount]]/Table1[[#This Row],[Loan_Amount_Term]]</f>
        <v>0.34722222222222221</v>
      </c>
      <c r="P63">
        <f>IF(Table1[[#This Row],[Total_Income ]]&gt;=AVERAGE(Table1[[#This Row],[Total_Income ]]),1,0)</f>
        <v>1</v>
      </c>
      <c r="Q63">
        <f>IF(Table1[[#This Row],[LoanAmount]]&gt;=AVERAGE(Table1[[#This Row],[LoanAmount]]),1,0)</f>
        <v>1</v>
      </c>
    </row>
    <row r="64" spans="1:17">
      <c r="A64" t="s">
        <v>89</v>
      </c>
      <c r="B64" t="s">
        <v>18</v>
      </c>
      <c r="C64" t="s">
        <v>21</v>
      </c>
      <c r="D64" s="1">
        <v>0</v>
      </c>
      <c r="E64" t="s">
        <v>20</v>
      </c>
      <c r="F64" t="s">
        <v>21</v>
      </c>
      <c r="G64">
        <v>4968</v>
      </c>
      <c r="H64">
        <v>0</v>
      </c>
      <c r="I64">
        <v>189</v>
      </c>
      <c r="J64">
        <v>360</v>
      </c>
      <c r="K64">
        <v>0</v>
      </c>
      <c r="L64" t="s">
        <v>31</v>
      </c>
      <c r="M64">
        <f>Table1[[#This Row],[ApplicantIncome]]+Table1[[#This Row],[CoapplicantIncome]]</f>
        <v>4968</v>
      </c>
      <c r="N64">
        <f>Table1[[#This Row],[LoanAmount]] /Table1[[#This Row],[Total_Income ]]</f>
        <v>3.8043478260869568E-2</v>
      </c>
      <c r="O64">
        <f>Table1[[#This Row],[LoanAmount]]/Table1[[#This Row],[Loan_Amount_Term]]</f>
        <v>0.52500000000000002</v>
      </c>
      <c r="P64">
        <f>IF(Table1[[#This Row],[Total_Income ]]&gt;=AVERAGE(Table1[[#This Row],[Total_Income ]]),1,0)</f>
        <v>1</v>
      </c>
      <c r="Q64">
        <f>IF(Table1[[#This Row],[LoanAmount]]&gt;=AVERAGE(Table1[[#This Row],[LoanAmount]]),1,0)</f>
        <v>1</v>
      </c>
    </row>
    <row r="65" spans="1:17">
      <c r="A65" t="s">
        <v>90</v>
      </c>
      <c r="B65" t="s">
        <v>18</v>
      </c>
      <c r="C65" t="s">
        <v>21</v>
      </c>
      <c r="D65" s="1" t="s">
        <v>39</v>
      </c>
      <c r="E65" t="s">
        <v>20</v>
      </c>
      <c r="F65" t="s">
        <v>21</v>
      </c>
      <c r="G65">
        <v>2101</v>
      </c>
      <c r="H65">
        <v>1500</v>
      </c>
      <c r="I65">
        <v>108</v>
      </c>
      <c r="J65">
        <v>360</v>
      </c>
      <c r="K65">
        <v>1</v>
      </c>
      <c r="L65" t="s">
        <v>33</v>
      </c>
      <c r="M65">
        <f>Table1[[#This Row],[ApplicantIncome]]+Table1[[#This Row],[CoapplicantIncome]]</f>
        <v>3601</v>
      </c>
      <c r="N65">
        <f>Table1[[#This Row],[LoanAmount]] /Table1[[#This Row],[Total_Income ]]</f>
        <v>2.9991668980838656E-2</v>
      </c>
      <c r="O65">
        <f>Table1[[#This Row],[LoanAmount]]/Table1[[#This Row],[Loan_Amount_Term]]</f>
        <v>0.3</v>
      </c>
      <c r="P65">
        <f>IF(Table1[[#This Row],[Total_Income ]]&gt;=AVERAGE(Table1[[#This Row],[Total_Income ]]),1,0)</f>
        <v>1</v>
      </c>
      <c r="Q65">
        <f>IF(Table1[[#This Row],[LoanAmount]]&gt;=AVERAGE(Table1[[#This Row],[LoanAmount]]),1,0)</f>
        <v>1</v>
      </c>
    </row>
    <row r="66" spans="1:17">
      <c r="A66" t="s">
        <v>91</v>
      </c>
      <c r="B66" t="s">
        <v>18</v>
      </c>
      <c r="C66" t="s">
        <v>19</v>
      </c>
      <c r="D66" s="1">
        <v>0</v>
      </c>
      <c r="E66" t="s">
        <v>27</v>
      </c>
      <c r="F66" t="s">
        <v>21</v>
      </c>
      <c r="G66">
        <v>4490</v>
      </c>
      <c r="H66">
        <v>0</v>
      </c>
      <c r="I66">
        <v>125</v>
      </c>
      <c r="J66">
        <v>360</v>
      </c>
      <c r="K66">
        <v>0</v>
      </c>
      <c r="L66" t="s">
        <v>22</v>
      </c>
      <c r="M66">
        <f>Table1[[#This Row],[ApplicantIncome]]+Table1[[#This Row],[CoapplicantIncome]]</f>
        <v>4490</v>
      </c>
      <c r="N66">
        <f>Table1[[#This Row],[LoanAmount]] /Table1[[#This Row],[Total_Income ]]</f>
        <v>2.7839643652561249E-2</v>
      </c>
      <c r="O66">
        <f>Table1[[#This Row],[LoanAmount]]/Table1[[#This Row],[Loan_Amount_Term]]</f>
        <v>0.34722222222222221</v>
      </c>
      <c r="P66">
        <f>IF(Table1[[#This Row],[Total_Income ]]&gt;=AVERAGE(Table1[[#This Row],[Total_Income ]]),1,0)</f>
        <v>1</v>
      </c>
      <c r="Q66">
        <f>IF(Table1[[#This Row],[LoanAmount]]&gt;=AVERAGE(Table1[[#This Row],[LoanAmount]]),1,0)</f>
        <v>1</v>
      </c>
    </row>
    <row r="67" spans="1:17">
      <c r="A67" t="s">
        <v>92</v>
      </c>
      <c r="B67" t="s">
        <v>18</v>
      </c>
      <c r="C67" t="s">
        <v>19</v>
      </c>
      <c r="D67" s="1">
        <v>0</v>
      </c>
      <c r="E67" t="s">
        <v>20</v>
      </c>
      <c r="F67" t="s">
        <v>21</v>
      </c>
      <c r="G67">
        <v>2917</v>
      </c>
      <c r="H67">
        <v>3583</v>
      </c>
      <c r="I67">
        <v>138</v>
      </c>
      <c r="J67">
        <v>360</v>
      </c>
      <c r="K67">
        <v>1</v>
      </c>
      <c r="L67" t="s">
        <v>31</v>
      </c>
      <c r="M67">
        <f>Table1[[#This Row],[ApplicantIncome]]+Table1[[#This Row],[CoapplicantIncome]]</f>
        <v>6500</v>
      </c>
      <c r="N67">
        <f>Table1[[#This Row],[LoanAmount]] /Table1[[#This Row],[Total_Income ]]</f>
        <v>2.123076923076923E-2</v>
      </c>
      <c r="O67">
        <f>Table1[[#This Row],[LoanAmount]]/Table1[[#This Row],[Loan_Amount_Term]]</f>
        <v>0.38333333333333336</v>
      </c>
      <c r="P67">
        <f>IF(Table1[[#This Row],[Total_Income ]]&gt;=AVERAGE(Table1[[#This Row],[Total_Income ]]),1,0)</f>
        <v>1</v>
      </c>
      <c r="Q67">
        <f>IF(Table1[[#This Row],[LoanAmount]]&gt;=AVERAGE(Table1[[#This Row],[LoanAmount]]),1,0)</f>
        <v>1</v>
      </c>
    </row>
    <row r="68" spans="1:17">
      <c r="A68" t="s">
        <v>93</v>
      </c>
      <c r="B68" t="s">
        <v>18</v>
      </c>
      <c r="C68" t="s">
        <v>19</v>
      </c>
      <c r="D68" s="1">
        <v>0</v>
      </c>
      <c r="E68" t="s">
        <v>27</v>
      </c>
      <c r="F68" t="s">
        <v>21</v>
      </c>
      <c r="G68">
        <v>4700</v>
      </c>
      <c r="H68">
        <v>0</v>
      </c>
      <c r="I68">
        <v>135</v>
      </c>
      <c r="J68">
        <v>360</v>
      </c>
      <c r="K68">
        <v>1</v>
      </c>
      <c r="L68" t="s">
        <v>31</v>
      </c>
      <c r="M68">
        <f>Table1[[#This Row],[ApplicantIncome]]+Table1[[#This Row],[CoapplicantIncome]]</f>
        <v>4700</v>
      </c>
      <c r="N68">
        <f>Table1[[#This Row],[LoanAmount]] /Table1[[#This Row],[Total_Income ]]</f>
        <v>2.8723404255319149E-2</v>
      </c>
      <c r="O68">
        <f>Table1[[#This Row],[LoanAmount]]/Table1[[#This Row],[Loan_Amount_Term]]</f>
        <v>0.375</v>
      </c>
      <c r="P68">
        <f>IF(Table1[[#This Row],[Total_Income ]]&gt;=AVERAGE(Table1[[#This Row],[Total_Income ]]),1,0)</f>
        <v>1</v>
      </c>
      <c r="Q68">
        <f>IF(Table1[[#This Row],[LoanAmount]]&gt;=AVERAGE(Table1[[#This Row],[LoanAmount]]),1,0)</f>
        <v>1</v>
      </c>
    </row>
    <row r="69" spans="1:17">
      <c r="A69" t="s">
        <v>94</v>
      </c>
      <c r="B69" t="s">
        <v>18</v>
      </c>
      <c r="C69" t="s">
        <v>19</v>
      </c>
      <c r="D69" s="1">
        <v>0</v>
      </c>
      <c r="E69" t="s">
        <v>20</v>
      </c>
      <c r="F69" t="s">
        <v>21</v>
      </c>
      <c r="G69">
        <v>3445</v>
      </c>
      <c r="H69">
        <v>0</v>
      </c>
      <c r="I69">
        <v>130</v>
      </c>
      <c r="J69">
        <v>360</v>
      </c>
      <c r="K69">
        <v>1</v>
      </c>
      <c r="L69" t="s">
        <v>31</v>
      </c>
      <c r="M69">
        <f>Table1[[#This Row],[ApplicantIncome]]+Table1[[#This Row],[CoapplicantIncome]]</f>
        <v>3445</v>
      </c>
      <c r="N69">
        <f>Table1[[#This Row],[LoanAmount]] /Table1[[#This Row],[Total_Income ]]</f>
        <v>3.7735849056603772E-2</v>
      </c>
      <c r="O69">
        <f>Table1[[#This Row],[LoanAmount]]/Table1[[#This Row],[Loan_Amount_Term]]</f>
        <v>0.3611111111111111</v>
      </c>
      <c r="P69">
        <f>IF(Table1[[#This Row],[Total_Income ]]&gt;=AVERAGE(Table1[[#This Row],[Total_Income ]]),1,0)</f>
        <v>1</v>
      </c>
      <c r="Q69">
        <f>IF(Table1[[#This Row],[LoanAmount]]&gt;=AVERAGE(Table1[[#This Row],[LoanAmount]]),1,0)</f>
        <v>1</v>
      </c>
    </row>
    <row r="70" spans="1:17">
      <c r="A70" t="s">
        <v>95</v>
      </c>
      <c r="B70" t="s">
        <v>30</v>
      </c>
      <c r="C70" t="s">
        <v>19</v>
      </c>
      <c r="D70" s="1">
        <v>0</v>
      </c>
      <c r="E70" t="s">
        <v>20</v>
      </c>
      <c r="F70" t="s">
        <v>19</v>
      </c>
      <c r="G70">
        <v>7666</v>
      </c>
      <c r="H70">
        <v>0</v>
      </c>
      <c r="I70">
        <v>187</v>
      </c>
      <c r="J70">
        <v>360</v>
      </c>
      <c r="K70">
        <v>1</v>
      </c>
      <c r="L70" t="s">
        <v>31</v>
      </c>
      <c r="M70">
        <f>Table1[[#This Row],[ApplicantIncome]]+Table1[[#This Row],[CoapplicantIncome]]</f>
        <v>7666</v>
      </c>
      <c r="N70">
        <f>Table1[[#This Row],[LoanAmount]] /Table1[[#This Row],[Total_Income ]]</f>
        <v>2.4393425515262197E-2</v>
      </c>
      <c r="O70">
        <f>Table1[[#This Row],[LoanAmount]]/Table1[[#This Row],[Loan_Amount_Term]]</f>
        <v>0.51944444444444449</v>
      </c>
      <c r="P70">
        <f>IF(Table1[[#This Row],[Total_Income ]]&gt;=AVERAGE(Table1[[#This Row],[Total_Income ]]),1,0)</f>
        <v>1</v>
      </c>
      <c r="Q70">
        <f>IF(Table1[[#This Row],[LoanAmount]]&gt;=AVERAGE(Table1[[#This Row],[LoanAmount]]),1,0)</f>
        <v>1</v>
      </c>
    </row>
    <row r="71" spans="1:17">
      <c r="A71" t="s">
        <v>96</v>
      </c>
      <c r="B71" t="s">
        <v>18</v>
      </c>
      <c r="C71" t="s">
        <v>19</v>
      </c>
      <c r="D71" s="1">
        <v>0</v>
      </c>
      <c r="E71" t="s">
        <v>20</v>
      </c>
      <c r="F71" t="s">
        <v>21</v>
      </c>
      <c r="G71">
        <v>2458</v>
      </c>
      <c r="H71">
        <v>5105</v>
      </c>
      <c r="I71">
        <v>188</v>
      </c>
      <c r="J71">
        <v>360</v>
      </c>
      <c r="K71">
        <v>1</v>
      </c>
      <c r="L71" t="s">
        <v>33</v>
      </c>
      <c r="M71">
        <f>Table1[[#This Row],[ApplicantIncome]]+Table1[[#This Row],[CoapplicantIncome]]</f>
        <v>7563</v>
      </c>
      <c r="N71">
        <f>Table1[[#This Row],[LoanAmount]] /Table1[[#This Row],[Total_Income ]]</f>
        <v>2.4857860637313236E-2</v>
      </c>
      <c r="O71">
        <f>Table1[[#This Row],[LoanAmount]]/Table1[[#This Row],[Loan_Amount_Term]]</f>
        <v>0.52222222222222225</v>
      </c>
      <c r="P71">
        <f>IF(Table1[[#This Row],[Total_Income ]]&gt;=AVERAGE(Table1[[#This Row],[Total_Income ]]),1,0)</f>
        <v>1</v>
      </c>
      <c r="Q71">
        <f>IF(Table1[[#This Row],[LoanAmount]]&gt;=AVERAGE(Table1[[#This Row],[LoanAmount]]),1,0)</f>
        <v>1</v>
      </c>
    </row>
    <row r="72" spans="1:17">
      <c r="A72" t="s">
        <v>97</v>
      </c>
      <c r="B72" t="s">
        <v>18</v>
      </c>
      <c r="C72" t="s">
        <v>21</v>
      </c>
      <c r="D72" s="1">
        <v>1</v>
      </c>
      <c r="E72" t="s">
        <v>20</v>
      </c>
      <c r="F72" t="s">
        <v>21</v>
      </c>
      <c r="G72">
        <v>3250</v>
      </c>
      <c r="H72">
        <v>0</v>
      </c>
      <c r="I72">
        <v>95</v>
      </c>
      <c r="J72">
        <v>60</v>
      </c>
      <c r="K72">
        <v>1</v>
      </c>
      <c r="L72" t="s">
        <v>31</v>
      </c>
      <c r="M72">
        <f>Table1[[#This Row],[ApplicantIncome]]+Table1[[#This Row],[CoapplicantIncome]]</f>
        <v>3250</v>
      </c>
      <c r="N72">
        <f>Table1[[#This Row],[LoanAmount]] /Table1[[#This Row],[Total_Income ]]</f>
        <v>2.923076923076923E-2</v>
      </c>
      <c r="O72">
        <f>Table1[[#This Row],[LoanAmount]]/Table1[[#This Row],[Loan_Amount_Term]]</f>
        <v>1.5833333333333333</v>
      </c>
      <c r="P72">
        <f>IF(Table1[[#This Row],[Total_Income ]]&gt;=AVERAGE(Table1[[#This Row],[Total_Income ]]),1,0)</f>
        <v>1</v>
      </c>
      <c r="Q72">
        <f>IF(Table1[[#This Row],[LoanAmount]]&gt;=AVERAGE(Table1[[#This Row],[LoanAmount]]),1,0)</f>
        <v>1</v>
      </c>
    </row>
    <row r="73" spans="1:17">
      <c r="A73" t="s">
        <v>98</v>
      </c>
      <c r="B73" t="s">
        <v>18</v>
      </c>
      <c r="C73" t="s">
        <v>21</v>
      </c>
      <c r="D73" s="1">
        <v>0</v>
      </c>
      <c r="E73" t="s">
        <v>20</v>
      </c>
      <c r="F73" t="s">
        <v>21</v>
      </c>
      <c r="G73">
        <v>4463</v>
      </c>
      <c r="H73">
        <v>0</v>
      </c>
      <c r="I73">
        <v>65</v>
      </c>
      <c r="J73">
        <v>360</v>
      </c>
      <c r="K73">
        <v>1</v>
      </c>
      <c r="L73" t="s">
        <v>31</v>
      </c>
      <c r="M73">
        <f>Table1[[#This Row],[ApplicantIncome]]+Table1[[#This Row],[CoapplicantIncome]]</f>
        <v>4463</v>
      </c>
      <c r="N73">
        <f>Table1[[#This Row],[LoanAmount]] /Table1[[#This Row],[Total_Income ]]</f>
        <v>1.4564194488012548E-2</v>
      </c>
      <c r="O73">
        <f>Table1[[#This Row],[LoanAmount]]/Table1[[#This Row],[Loan_Amount_Term]]</f>
        <v>0.18055555555555555</v>
      </c>
      <c r="P73">
        <f>IF(Table1[[#This Row],[Total_Income ]]&gt;=AVERAGE(Table1[[#This Row],[Total_Income ]]),1,0)</f>
        <v>1</v>
      </c>
      <c r="Q73">
        <f>IF(Table1[[#This Row],[LoanAmount]]&gt;=AVERAGE(Table1[[#This Row],[LoanAmount]]),1,0)</f>
        <v>1</v>
      </c>
    </row>
    <row r="74" spans="1:17">
      <c r="A74" t="s">
        <v>99</v>
      </c>
      <c r="B74" t="s">
        <v>18</v>
      </c>
      <c r="C74" t="s">
        <v>19</v>
      </c>
      <c r="D74" s="1">
        <v>0</v>
      </c>
      <c r="E74" t="s">
        <v>20</v>
      </c>
      <c r="F74" t="s">
        <v>19</v>
      </c>
      <c r="G74">
        <v>4083</v>
      </c>
      <c r="H74">
        <v>1775</v>
      </c>
      <c r="I74">
        <v>139</v>
      </c>
      <c r="J74">
        <v>360</v>
      </c>
      <c r="K74">
        <v>1</v>
      </c>
      <c r="L74" t="s">
        <v>22</v>
      </c>
      <c r="M74">
        <f>Table1[[#This Row],[ApplicantIncome]]+Table1[[#This Row],[CoapplicantIncome]]</f>
        <v>5858</v>
      </c>
      <c r="N74">
        <f>Table1[[#This Row],[LoanAmount]] /Table1[[#This Row],[Total_Income ]]</f>
        <v>2.3728234892454764E-2</v>
      </c>
      <c r="O74">
        <f>Table1[[#This Row],[LoanAmount]]/Table1[[#This Row],[Loan_Amount_Term]]</f>
        <v>0.38611111111111113</v>
      </c>
      <c r="P74">
        <f>IF(Table1[[#This Row],[Total_Income ]]&gt;=AVERAGE(Table1[[#This Row],[Total_Income ]]),1,0)</f>
        <v>1</v>
      </c>
      <c r="Q74">
        <f>IF(Table1[[#This Row],[LoanAmount]]&gt;=AVERAGE(Table1[[#This Row],[LoanAmount]]),1,0)</f>
        <v>1</v>
      </c>
    </row>
    <row r="75" spans="1:17">
      <c r="A75" t="s">
        <v>100</v>
      </c>
      <c r="B75" t="s">
        <v>18</v>
      </c>
      <c r="C75" t="s">
        <v>19</v>
      </c>
      <c r="D75" s="1">
        <v>0</v>
      </c>
      <c r="E75" t="s">
        <v>20</v>
      </c>
      <c r="F75" t="s">
        <v>21</v>
      </c>
      <c r="G75">
        <v>3900</v>
      </c>
      <c r="H75">
        <v>2094</v>
      </c>
      <c r="I75">
        <v>232</v>
      </c>
      <c r="J75">
        <v>360</v>
      </c>
      <c r="K75">
        <v>1</v>
      </c>
      <c r="L75" t="s">
        <v>33</v>
      </c>
      <c r="M75">
        <f>Table1[[#This Row],[ApplicantIncome]]+Table1[[#This Row],[CoapplicantIncome]]</f>
        <v>5994</v>
      </c>
      <c r="N75">
        <f>Table1[[#This Row],[LoanAmount]] /Table1[[#This Row],[Total_Income ]]</f>
        <v>3.8705372038705374E-2</v>
      </c>
      <c r="O75">
        <f>Table1[[#This Row],[LoanAmount]]/Table1[[#This Row],[Loan_Amount_Term]]</f>
        <v>0.64444444444444449</v>
      </c>
      <c r="P75">
        <f>IF(Table1[[#This Row],[Total_Income ]]&gt;=AVERAGE(Table1[[#This Row],[Total_Income ]]),1,0)</f>
        <v>1</v>
      </c>
      <c r="Q75">
        <f>IF(Table1[[#This Row],[LoanAmount]]&gt;=AVERAGE(Table1[[#This Row],[LoanAmount]]),1,0)</f>
        <v>1</v>
      </c>
    </row>
    <row r="76" spans="1:17">
      <c r="A76" t="s">
        <v>101</v>
      </c>
      <c r="B76" t="s">
        <v>18</v>
      </c>
      <c r="C76" t="s">
        <v>19</v>
      </c>
      <c r="D76" s="1">
        <v>0</v>
      </c>
      <c r="E76" t="s">
        <v>27</v>
      </c>
      <c r="F76" t="s">
        <v>21</v>
      </c>
      <c r="G76">
        <v>4750</v>
      </c>
      <c r="H76">
        <v>3583</v>
      </c>
      <c r="I76">
        <v>144</v>
      </c>
      <c r="J76">
        <v>360</v>
      </c>
      <c r="K76">
        <v>1</v>
      </c>
      <c r="L76" t="s">
        <v>31</v>
      </c>
      <c r="M76">
        <f>Table1[[#This Row],[ApplicantIncome]]+Table1[[#This Row],[CoapplicantIncome]]</f>
        <v>8333</v>
      </c>
      <c r="N76">
        <f>Table1[[#This Row],[LoanAmount]] /Table1[[#This Row],[Total_Income ]]</f>
        <v>1.7280691227649105E-2</v>
      </c>
      <c r="O76">
        <f>Table1[[#This Row],[LoanAmount]]/Table1[[#This Row],[Loan_Amount_Term]]</f>
        <v>0.4</v>
      </c>
      <c r="P76">
        <f>IF(Table1[[#This Row],[Total_Income ]]&gt;=AVERAGE(Table1[[#This Row],[Total_Income ]]),1,0)</f>
        <v>1</v>
      </c>
      <c r="Q76">
        <f>IF(Table1[[#This Row],[LoanAmount]]&gt;=AVERAGE(Table1[[#This Row],[LoanAmount]]),1,0)</f>
        <v>1</v>
      </c>
    </row>
    <row r="77" spans="1:17">
      <c r="A77" t="s">
        <v>102</v>
      </c>
      <c r="B77" t="s">
        <v>18</v>
      </c>
      <c r="C77" t="s">
        <v>21</v>
      </c>
      <c r="D77" s="1">
        <v>0</v>
      </c>
      <c r="E77" t="s">
        <v>20</v>
      </c>
      <c r="F77" t="s">
        <v>21</v>
      </c>
      <c r="G77">
        <v>3583</v>
      </c>
      <c r="H77">
        <v>3435</v>
      </c>
      <c r="I77">
        <v>155</v>
      </c>
      <c r="J77">
        <v>360</v>
      </c>
      <c r="K77">
        <v>0</v>
      </c>
      <c r="L77" t="s">
        <v>22</v>
      </c>
      <c r="M77">
        <f>Table1[[#This Row],[ApplicantIncome]]+Table1[[#This Row],[CoapplicantIncome]]</f>
        <v>7018</v>
      </c>
      <c r="N77">
        <f>Table1[[#This Row],[LoanAmount]] /Table1[[#This Row],[Total_Income ]]</f>
        <v>2.2086064405813621E-2</v>
      </c>
      <c r="O77">
        <f>Table1[[#This Row],[LoanAmount]]/Table1[[#This Row],[Loan_Amount_Term]]</f>
        <v>0.43055555555555558</v>
      </c>
      <c r="P77">
        <f>IF(Table1[[#This Row],[Total_Income ]]&gt;=AVERAGE(Table1[[#This Row],[Total_Income ]]),1,0)</f>
        <v>1</v>
      </c>
      <c r="Q77">
        <f>IF(Table1[[#This Row],[LoanAmount]]&gt;=AVERAGE(Table1[[#This Row],[LoanAmount]]),1,0)</f>
        <v>1</v>
      </c>
    </row>
    <row r="78" spans="1:17">
      <c r="A78" t="s">
        <v>103</v>
      </c>
      <c r="B78" t="s">
        <v>18</v>
      </c>
      <c r="C78" t="s">
        <v>19</v>
      </c>
      <c r="D78" s="1">
        <v>1</v>
      </c>
      <c r="E78" t="s">
        <v>20</v>
      </c>
      <c r="F78" t="s">
        <v>21</v>
      </c>
      <c r="G78">
        <v>3189</v>
      </c>
      <c r="H78">
        <v>2367</v>
      </c>
      <c r="I78">
        <v>186</v>
      </c>
      <c r="J78">
        <v>360</v>
      </c>
      <c r="K78">
        <v>1</v>
      </c>
      <c r="L78" t="s">
        <v>22</v>
      </c>
      <c r="M78">
        <f>Table1[[#This Row],[ApplicantIncome]]+Table1[[#This Row],[CoapplicantIncome]]</f>
        <v>5556</v>
      </c>
      <c r="N78">
        <f>Table1[[#This Row],[LoanAmount]] /Table1[[#This Row],[Total_Income ]]</f>
        <v>3.3477321814254862E-2</v>
      </c>
      <c r="O78">
        <f>Table1[[#This Row],[LoanAmount]]/Table1[[#This Row],[Loan_Amount_Term]]</f>
        <v>0.51666666666666672</v>
      </c>
      <c r="P78">
        <f>IF(Table1[[#This Row],[Total_Income ]]&gt;=AVERAGE(Table1[[#This Row],[Total_Income ]]),1,0)</f>
        <v>1</v>
      </c>
      <c r="Q78">
        <f>IF(Table1[[#This Row],[LoanAmount]]&gt;=AVERAGE(Table1[[#This Row],[LoanAmount]]),1,0)</f>
        <v>1</v>
      </c>
    </row>
    <row r="79" spans="1:17">
      <c r="A79" t="s">
        <v>104</v>
      </c>
      <c r="B79" t="s">
        <v>30</v>
      </c>
      <c r="C79" t="s">
        <v>21</v>
      </c>
      <c r="D79" s="1">
        <v>0</v>
      </c>
      <c r="E79" t="s">
        <v>20</v>
      </c>
      <c r="F79" t="s">
        <v>21</v>
      </c>
      <c r="G79">
        <v>6356</v>
      </c>
      <c r="H79">
        <v>0</v>
      </c>
      <c r="I79">
        <v>50</v>
      </c>
      <c r="J79">
        <v>360</v>
      </c>
      <c r="K79">
        <v>0</v>
      </c>
      <c r="L79" t="s">
        <v>33</v>
      </c>
      <c r="M79">
        <f>Table1[[#This Row],[ApplicantIncome]]+Table1[[#This Row],[CoapplicantIncome]]</f>
        <v>6356</v>
      </c>
      <c r="N79">
        <f>Table1[[#This Row],[LoanAmount]] /Table1[[#This Row],[Total_Income ]]</f>
        <v>7.866582756450597E-3</v>
      </c>
      <c r="O79">
        <f>Table1[[#This Row],[LoanAmount]]/Table1[[#This Row],[Loan_Amount_Term]]</f>
        <v>0.1388888888888889</v>
      </c>
      <c r="P79">
        <f>IF(Table1[[#This Row],[Total_Income ]]&gt;=AVERAGE(Table1[[#This Row],[Total_Income ]]),1,0)</f>
        <v>1</v>
      </c>
      <c r="Q79">
        <f>IF(Table1[[#This Row],[LoanAmount]]&gt;=AVERAGE(Table1[[#This Row],[LoanAmount]]),1,0)</f>
        <v>1</v>
      </c>
    </row>
    <row r="80" spans="1:17">
      <c r="A80" t="s">
        <v>105</v>
      </c>
      <c r="B80" t="s">
        <v>18</v>
      </c>
      <c r="C80" t="s">
        <v>19</v>
      </c>
      <c r="D80" s="1" t="s">
        <v>39</v>
      </c>
      <c r="E80" t="s">
        <v>20</v>
      </c>
      <c r="F80" t="s">
        <v>21</v>
      </c>
      <c r="G80">
        <v>3413</v>
      </c>
      <c r="H80">
        <v>4053</v>
      </c>
      <c r="I80">
        <v>185</v>
      </c>
      <c r="J80">
        <v>360</v>
      </c>
      <c r="K80">
        <v>1</v>
      </c>
      <c r="L80" t="s">
        <v>31</v>
      </c>
      <c r="M80">
        <f>Table1[[#This Row],[ApplicantIncome]]+Table1[[#This Row],[CoapplicantIncome]]</f>
        <v>7466</v>
      </c>
      <c r="N80">
        <f>Table1[[#This Row],[LoanAmount]] /Table1[[#This Row],[Total_Income ]]</f>
        <v>2.4778998124832575E-2</v>
      </c>
      <c r="O80">
        <f>Table1[[#This Row],[LoanAmount]]/Table1[[#This Row],[Loan_Amount_Term]]</f>
        <v>0.51388888888888884</v>
      </c>
      <c r="P80">
        <f>IF(Table1[[#This Row],[Total_Income ]]&gt;=AVERAGE(Table1[[#This Row],[Total_Income ]]),1,0)</f>
        <v>1</v>
      </c>
      <c r="Q80">
        <f>IF(Table1[[#This Row],[LoanAmount]]&gt;=AVERAGE(Table1[[#This Row],[LoanAmount]]),1,0)</f>
        <v>1</v>
      </c>
    </row>
    <row r="81" spans="1:17">
      <c r="A81" t="s">
        <v>106</v>
      </c>
      <c r="B81" t="s">
        <v>18</v>
      </c>
      <c r="C81" t="s">
        <v>19</v>
      </c>
      <c r="D81" s="1" t="s">
        <v>39</v>
      </c>
      <c r="E81" t="s">
        <v>20</v>
      </c>
      <c r="F81" t="s">
        <v>21</v>
      </c>
      <c r="G81">
        <v>7950</v>
      </c>
      <c r="H81">
        <v>0</v>
      </c>
      <c r="I81">
        <v>163</v>
      </c>
      <c r="J81">
        <v>360</v>
      </c>
      <c r="K81">
        <v>0</v>
      </c>
      <c r="L81" t="s">
        <v>22</v>
      </c>
      <c r="M81">
        <f>Table1[[#This Row],[ApplicantIncome]]+Table1[[#This Row],[CoapplicantIncome]]</f>
        <v>7950</v>
      </c>
      <c r="N81">
        <f>Table1[[#This Row],[LoanAmount]] /Table1[[#This Row],[Total_Income ]]</f>
        <v>2.0503144654088052E-2</v>
      </c>
      <c r="O81">
        <f>Table1[[#This Row],[LoanAmount]]/Table1[[#This Row],[Loan_Amount_Term]]</f>
        <v>0.45277777777777778</v>
      </c>
      <c r="P81">
        <f>IF(Table1[[#This Row],[Total_Income ]]&gt;=AVERAGE(Table1[[#This Row],[Total_Income ]]),1,0)</f>
        <v>1</v>
      </c>
      <c r="Q81">
        <f>IF(Table1[[#This Row],[LoanAmount]]&gt;=AVERAGE(Table1[[#This Row],[LoanAmount]]),1,0)</f>
        <v>1</v>
      </c>
    </row>
    <row r="82" spans="1:17">
      <c r="A82" t="s">
        <v>107</v>
      </c>
      <c r="B82" t="s">
        <v>18</v>
      </c>
      <c r="C82" t="s">
        <v>19</v>
      </c>
      <c r="D82" s="1">
        <v>2</v>
      </c>
      <c r="E82" t="s">
        <v>20</v>
      </c>
      <c r="F82" t="s">
        <v>21</v>
      </c>
      <c r="G82">
        <v>3829</v>
      </c>
      <c r="H82">
        <v>1103</v>
      </c>
      <c r="I82">
        <v>360</v>
      </c>
      <c r="J82">
        <v>480</v>
      </c>
      <c r="K82">
        <v>1</v>
      </c>
      <c r="L82" t="s">
        <v>22</v>
      </c>
      <c r="M82">
        <f>Table1[[#This Row],[ApplicantIncome]]+Table1[[#This Row],[CoapplicantIncome]]</f>
        <v>4932</v>
      </c>
      <c r="N82">
        <f>Table1[[#This Row],[LoanAmount]] /Table1[[#This Row],[Total_Income ]]</f>
        <v>7.2992700729927001E-2</v>
      </c>
      <c r="O82">
        <f>Table1[[#This Row],[LoanAmount]]/Table1[[#This Row],[Loan_Amount_Term]]</f>
        <v>0.75</v>
      </c>
      <c r="P82">
        <f>IF(Table1[[#This Row],[Total_Income ]]&gt;=AVERAGE(Table1[[#This Row],[Total_Income ]]),1,0)</f>
        <v>1</v>
      </c>
      <c r="Q82">
        <f>IF(Table1[[#This Row],[LoanAmount]]&gt;=AVERAGE(Table1[[#This Row],[LoanAmount]]),1,0)</f>
        <v>1</v>
      </c>
    </row>
    <row r="83" spans="1:17">
      <c r="A83" t="s">
        <v>108</v>
      </c>
      <c r="B83" t="s">
        <v>18</v>
      </c>
      <c r="C83" t="s">
        <v>19</v>
      </c>
      <c r="D83" s="1">
        <v>0</v>
      </c>
      <c r="E83" t="s">
        <v>20</v>
      </c>
      <c r="F83" t="s">
        <v>21</v>
      </c>
      <c r="G83">
        <v>72529</v>
      </c>
      <c r="H83">
        <v>0</v>
      </c>
      <c r="I83">
        <v>149</v>
      </c>
      <c r="J83">
        <v>360</v>
      </c>
      <c r="K83">
        <v>1</v>
      </c>
      <c r="L83" t="s">
        <v>22</v>
      </c>
      <c r="M83">
        <f>Table1[[#This Row],[ApplicantIncome]]+Table1[[#This Row],[CoapplicantIncome]]</f>
        <v>72529</v>
      </c>
      <c r="N83">
        <f>Table1[[#This Row],[LoanAmount]] /Table1[[#This Row],[Total_Income ]]</f>
        <v>2.0543506735236938E-3</v>
      </c>
      <c r="O83">
        <f>Table1[[#This Row],[LoanAmount]]/Table1[[#This Row],[Loan_Amount_Term]]</f>
        <v>0.41388888888888886</v>
      </c>
      <c r="P83">
        <f>IF(Table1[[#This Row],[Total_Income ]]&gt;=AVERAGE(Table1[[#This Row],[Total_Income ]]),1,0)</f>
        <v>1</v>
      </c>
      <c r="Q83">
        <f>IF(Table1[[#This Row],[LoanAmount]]&gt;=AVERAGE(Table1[[#This Row],[LoanAmount]]),1,0)</f>
        <v>1</v>
      </c>
    </row>
    <row r="84" spans="1:17">
      <c r="A84" t="s">
        <v>109</v>
      </c>
      <c r="B84" t="s">
        <v>18</v>
      </c>
      <c r="C84" t="s">
        <v>19</v>
      </c>
      <c r="D84" s="1">
        <v>0</v>
      </c>
      <c r="E84" t="s">
        <v>27</v>
      </c>
      <c r="F84" t="s">
        <v>21</v>
      </c>
      <c r="G84">
        <v>4136</v>
      </c>
      <c r="H84">
        <v>0</v>
      </c>
      <c r="I84">
        <v>257</v>
      </c>
      <c r="J84">
        <v>180</v>
      </c>
      <c r="K84">
        <v>1</v>
      </c>
      <c r="L84" t="s">
        <v>33</v>
      </c>
      <c r="M84">
        <f>Table1[[#This Row],[ApplicantIncome]]+Table1[[#This Row],[CoapplicantIncome]]</f>
        <v>4136</v>
      </c>
      <c r="N84">
        <f>Table1[[#This Row],[LoanAmount]] /Table1[[#This Row],[Total_Income ]]</f>
        <v>6.213733075435203E-2</v>
      </c>
      <c r="O84">
        <f>Table1[[#This Row],[LoanAmount]]/Table1[[#This Row],[Loan_Amount_Term]]</f>
        <v>1.4277777777777778</v>
      </c>
      <c r="P84">
        <f>IF(Table1[[#This Row],[Total_Income ]]&gt;=AVERAGE(Table1[[#This Row],[Total_Income ]]),1,0)</f>
        <v>1</v>
      </c>
      <c r="Q84">
        <f>IF(Table1[[#This Row],[LoanAmount]]&gt;=AVERAGE(Table1[[#This Row],[LoanAmount]]),1,0)</f>
        <v>1</v>
      </c>
    </row>
    <row r="85" spans="1:17">
      <c r="A85" t="s">
        <v>110</v>
      </c>
      <c r="B85" t="s">
        <v>18</v>
      </c>
      <c r="C85" t="s">
        <v>19</v>
      </c>
      <c r="D85" s="1">
        <v>2</v>
      </c>
      <c r="E85" t="s">
        <v>20</v>
      </c>
      <c r="F85" t="s">
        <v>21</v>
      </c>
      <c r="G85">
        <v>8449</v>
      </c>
      <c r="H85">
        <v>0</v>
      </c>
      <c r="I85">
        <v>131</v>
      </c>
      <c r="J85">
        <v>180</v>
      </c>
      <c r="K85">
        <v>1</v>
      </c>
      <c r="L85" t="s">
        <v>33</v>
      </c>
      <c r="M85">
        <f>Table1[[#This Row],[ApplicantIncome]]+Table1[[#This Row],[CoapplicantIncome]]</f>
        <v>8449</v>
      </c>
      <c r="N85">
        <f>Table1[[#This Row],[LoanAmount]] /Table1[[#This Row],[Total_Income ]]</f>
        <v>1.5504793466682447E-2</v>
      </c>
      <c r="O85">
        <f>Table1[[#This Row],[LoanAmount]]/Table1[[#This Row],[Loan_Amount_Term]]</f>
        <v>0.72777777777777775</v>
      </c>
      <c r="P85">
        <f>IF(Table1[[#This Row],[Total_Income ]]&gt;=AVERAGE(Table1[[#This Row],[Total_Income ]]),1,0)</f>
        <v>1</v>
      </c>
      <c r="Q85">
        <f>IF(Table1[[#This Row],[LoanAmount]]&gt;=AVERAGE(Table1[[#This Row],[LoanAmount]]),1,0)</f>
        <v>1</v>
      </c>
    </row>
    <row r="86" spans="1:17">
      <c r="A86" t="s">
        <v>111</v>
      </c>
      <c r="B86" t="s">
        <v>18</v>
      </c>
      <c r="C86" t="s">
        <v>19</v>
      </c>
      <c r="D86" s="1">
        <v>0</v>
      </c>
      <c r="E86" t="s">
        <v>20</v>
      </c>
      <c r="F86" t="s">
        <v>19</v>
      </c>
      <c r="G86">
        <v>4456</v>
      </c>
      <c r="H86">
        <v>0</v>
      </c>
      <c r="I86">
        <v>102</v>
      </c>
      <c r="J86">
        <v>360</v>
      </c>
      <c r="K86">
        <v>1</v>
      </c>
      <c r="L86" t="s">
        <v>31</v>
      </c>
      <c r="M86">
        <f>Table1[[#This Row],[ApplicantIncome]]+Table1[[#This Row],[CoapplicantIncome]]</f>
        <v>4456</v>
      </c>
      <c r="N86">
        <f>Table1[[#This Row],[LoanAmount]] /Table1[[#This Row],[Total_Income ]]</f>
        <v>2.289048473967684E-2</v>
      </c>
      <c r="O86">
        <f>Table1[[#This Row],[LoanAmount]]/Table1[[#This Row],[Loan_Amount_Term]]</f>
        <v>0.28333333333333333</v>
      </c>
      <c r="P86">
        <f>IF(Table1[[#This Row],[Total_Income ]]&gt;=AVERAGE(Table1[[#This Row],[Total_Income ]]),1,0)</f>
        <v>1</v>
      </c>
      <c r="Q86">
        <f>IF(Table1[[#This Row],[LoanAmount]]&gt;=AVERAGE(Table1[[#This Row],[LoanAmount]]),1,0)</f>
        <v>1</v>
      </c>
    </row>
    <row r="87" spans="1:17">
      <c r="A87" t="s">
        <v>112</v>
      </c>
      <c r="B87" t="s">
        <v>18</v>
      </c>
      <c r="C87" t="s">
        <v>19</v>
      </c>
      <c r="D87" s="1">
        <v>0</v>
      </c>
      <c r="E87" t="s">
        <v>20</v>
      </c>
      <c r="F87" t="s">
        <v>21</v>
      </c>
      <c r="G87">
        <v>4635</v>
      </c>
      <c r="H87">
        <v>8000</v>
      </c>
      <c r="I87">
        <v>135</v>
      </c>
      <c r="J87">
        <v>360</v>
      </c>
      <c r="K87">
        <v>1</v>
      </c>
      <c r="L87" t="s">
        <v>33</v>
      </c>
      <c r="M87">
        <f>Table1[[#This Row],[ApplicantIncome]]+Table1[[#This Row],[CoapplicantIncome]]</f>
        <v>12635</v>
      </c>
      <c r="N87">
        <f>Table1[[#This Row],[LoanAmount]] /Table1[[#This Row],[Total_Income ]]</f>
        <v>1.0684606252473288E-2</v>
      </c>
      <c r="O87">
        <f>Table1[[#This Row],[LoanAmount]]/Table1[[#This Row],[Loan_Amount_Term]]</f>
        <v>0.375</v>
      </c>
      <c r="P87">
        <f>IF(Table1[[#This Row],[Total_Income ]]&gt;=AVERAGE(Table1[[#This Row],[Total_Income ]]),1,0)</f>
        <v>1</v>
      </c>
      <c r="Q87">
        <f>IF(Table1[[#This Row],[LoanAmount]]&gt;=AVERAGE(Table1[[#This Row],[LoanAmount]]),1,0)</f>
        <v>1</v>
      </c>
    </row>
    <row r="88" spans="1:17">
      <c r="A88" t="s">
        <v>113</v>
      </c>
      <c r="B88" t="s">
        <v>18</v>
      </c>
      <c r="C88" t="s">
        <v>19</v>
      </c>
      <c r="D88" s="1">
        <v>2</v>
      </c>
      <c r="E88" t="s">
        <v>20</v>
      </c>
      <c r="F88" t="s">
        <v>21</v>
      </c>
      <c r="G88">
        <v>3571</v>
      </c>
      <c r="H88">
        <v>1917</v>
      </c>
      <c r="I88">
        <v>95</v>
      </c>
      <c r="J88">
        <v>360</v>
      </c>
      <c r="K88">
        <v>1</v>
      </c>
      <c r="L88" t="s">
        <v>22</v>
      </c>
      <c r="M88">
        <f>Table1[[#This Row],[ApplicantIncome]]+Table1[[#This Row],[CoapplicantIncome]]</f>
        <v>5488</v>
      </c>
      <c r="N88">
        <f>Table1[[#This Row],[LoanAmount]] /Table1[[#This Row],[Total_Income ]]</f>
        <v>1.7310495626822159E-2</v>
      </c>
      <c r="O88">
        <f>Table1[[#This Row],[LoanAmount]]/Table1[[#This Row],[Loan_Amount_Term]]</f>
        <v>0.2638888888888889</v>
      </c>
      <c r="P88">
        <f>IF(Table1[[#This Row],[Total_Income ]]&gt;=AVERAGE(Table1[[#This Row],[Total_Income ]]),1,0)</f>
        <v>1</v>
      </c>
      <c r="Q88">
        <f>IF(Table1[[#This Row],[LoanAmount]]&gt;=AVERAGE(Table1[[#This Row],[LoanAmount]]),1,0)</f>
        <v>1</v>
      </c>
    </row>
    <row r="89" spans="1:17">
      <c r="A89" t="s">
        <v>114</v>
      </c>
      <c r="B89" t="s">
        <v>30</v>
      </c>
      <c r="C89" t="s">
        <v>21</v>
      </c>
      <c r="D89" s="1">
        <v>0</v>
      </c>
      <c r="E89" t="s">
        <v>20</v>
      </c>
      <c r="F89" t="s">
        <v>21</v>
      </c>
      <c r="G89">
        <v>3066</v>
      </c>
      <c r="H89">
        <v>0</v>
      </c>
      <c r="I89">
        <v>77</v>
      </c>
      <c r="J89">
        <v>360</v>
      </c>
      <c r="K89">
        <v>1</v>
      </c>
      <c r="L89" t="s">
        <v>31</v>
      </c>
      <c r="M89">
        <f>Table1[[#This Row],[ApplicantIncome]]+Table1[[#This Row],[CoapplicantIncome]]</f>
        <v>3066</v>
      </c>
      <c r="N89">
        <f>Table1[[#This Row],[LoanAmount]] /Table1[[#This Row],[Total_Income ]]</f>
        <v>2.5114155251141551E-2</v>
      </c>
      <c r="O89">
        <f>Table1[[#This Row],[LoanAmount]]/Table1[[#This Row],[Loan_Amount_Term]]</f>
        <v>0.21388888888888888</v>
      </c>
      <c r="P89">
        <f>IF(Table1[[#This Row],[Total_Income ]]&gt;=AVERAGE(Table1[[#This Row],[Total_Income ]]),1,0)</f>
        <v>1</v>
      </c>
      <c r="Q89">
        <f>IF(Table1[[#This Row],[LoanAmount]]&gt;=AVERAGE(Table1[[#This Row],[LoanAmount]]),1,0)</f>
        <v>1</v>
      </c>
    </row>
    <row r="90" spans="1:17">
      <c r="A90" t="s">
        <v>115</v>
      </c>
      <c r="B90" t="s">
        <v>18</v>
      </c>
      <c r="C90" t="s">
        <v>21</v>
      </c>
      <c r="D90" s="1">
        <v>0</v>
      </c>
      <c r="E90" t="s">
        <v>27</v>
      </c>
      <c r="F90" t="s">
        <v>21</v>
      </c>
      <c r="G90">
        <v>3235</v>
      </c>
      <c r="H90">
        <v>2015</v>
      </c>
      <c r="I90">
        <v>200</v>
      </c>
      <c r="J90">
        <v>360</v>
      </c>
      <c r="K90">
        <v>0</v>
      </c>
      <c r="L90" t="s">
        <v>31</v>
      </c>
      <c r="M90">
        <f>Table1[[#This Row],[ApplicantIncome]]+Table1[[#This Row],[CoapplicantIncome]]</f>
        <v>5250</v>
      </c>
      <c r="N90">
        <f>Table1[[#This Row],[LoanAmount]] /Table1[[#This Row],[Total_Income ]]</f>
        <v>3.8095238095238099E-2</v>
      </c>
      <c r="O90">
        <f>Table1[[#This Row],[LoanAmount]]/Table1[[#This Row],[Loan_Amount_Term]]</f>
        <v>0.55555555555555558</v>
      </c>
      <c r="P90">
        <f>IF(Table1[[#This Row],[Total_Income ]]&gt;=AVERAGE(Table1[[#This Row],[Total_Income ]]),1,0)</f>
        <v>1</v>
      </c>
      <c r="Q90">
        <f>IF(Table1[[#This Row],[LoanAmount]]&gt;=AVERAGE(Table1[[#This Row],[LoanAmount]]),1,0)</f>
        <v>1</v>
      </c>
    </row>
    <row r="91" spans="1:17">
      <c r="A91" t="s">
        <v>116</v>
      </c>
      <c r="B91" t="s">
        <v>18</v>
      </c>
      <c r="C91" t="s">
        <v>21</v>
      </c>
      <c r="D91" s="1" t="s">
        <v>39</v>
      </c>
      <c r="E91" t="s">
        <v>20</v>
      </c>
      <c r="F91" t="s">
        <v>21</v>
      </c>
      <c r="G91">
        <v>5058</v>
      </c>
      <c r="H91">
        <v>0</v>
      </c>
      <c r="I91">
        <v>130</v>
      </c>
      <c r="J91">
        <v>360</v>
      </c>
      <c r="K91">
        <v>1</v>
      </c>
      <c r="L91" t="s">
        <v>33</v>
      </c>
      <c r="M91">
        <f>Table1[[#This Row],[ApplicantIncome]]+Table1[[#This Row],[CoapplicantIncome]]</f>
        <v>5058</v>
      </c>
      <c r="N91">
        <f>Table1[[#This Row],[LoanAmount]] /Table1[[#This Row],[Total_Income ]]</f>
        <v>2.5701858442071967E-2</v>
      </c>
      <c r="O91">
        <f>Table1[[#This Row],[LoanAmount]]/Table1[[#This Row],[Loan_Amount_Term]]</f>
        <v>0.3611111111111111</v>
      </c>
      <c r="P91">
        <f>IF(Table1[[#This Row],[Total_Income ]]&gt;=AVERAGE(Table1[[#This Row],[Total_Income ]]),1,0)</f>
        <v>1</v>
      </c>
      <c r="Q91">
        <f>IF(Table1[[#This Row],[LoanAmount]]&gt;=AVERAGE(Table1[[#This Row],[LoanAmount]]),1,0)</f>
        <v>1</v>
      </c>
    </row>
    <row r="92" spans="1:17">
      <c r="A92" t="s">
        <v>117</v>
      </c>
      <c r="B92" t="s">
        <v>18</v>
      </c>
      <c r="C92" t="s">
        <v>19</v>
      </c>
      <c r="D92" s="1">
        <v>1</v>
      </c>
      <c r="E92" t="s">
        <v>20</v>
      </c>
      <c r="F92" t="s">
        <v>21</v>
      </c>
      <c r="G92">
        <v>3188</v>
      </c>
      <c r="H92">
        <v>2286</v>
      </c>
      <c r="I92">
        <v>390</v>
      </c>
      <c r="J92">
        <v>360</v>
      </c>
      <c r="K92">
        <v>1</v>
      </c>
      <c r="L92" t="s">
        <v>33</v>
      </c>
      <c r="M92">
        <f>Table1[[#This Row],[ApplicantIncome]]+Table1[[#This Row],[CoapplicantIncome]]</f>
        <v>5474</v>
      </c>
      <c r="N92">
        <f>Table1[[#This Row],[LoanAmount]] /Table1[[#This Row],[Total_Income ]]</f>
        <v>7.1245889660211906E-2</v>
      </c>
      <c r="O92">
        <f>Table1[[#This Row],[LoanAmount]]/Table1[[#This Row],[Loan_Amount_Term]]</f>
        <v>1.0833333333333333</v>
      </c>
      <c r="P92">
        <f>IF(Table1[[#This Row],[Total_Income ]]&gt;=AVERAGE(Table1[[#This Row],[Total_Income ]]),1,0)</f>
        <v>1</v>
      </c>
      <c r="Q92">
        <f>IF(Table1[[#This Row],[LoanAmount]]&gt;=AVERAGE(Table1[[#This Row],[LoanAmount]]),1,0)</f>
        <v>1</v>
      </c>
    </row>
    <row r="93" spans="1:17">
      <c r="A93" t="s">
        <v>118</v>
      </c>
      <c r="B93" t="s">
        <v>18</v>
      </c>
      <c r="C93" t="s">
        <v>19</v>
      </c>
      <c r="D93" s="1">
        <v>2</v>
      </c>
      <c r="E93" t="s">
        <v>20</v>
      </c>
      <c r="F93" t="s">
        <v>21</v>
      </c>
      <c r="G93">
        <v>13518</v>
      </c>
      <c r="H93">
        <v>0</v>
      </c>
      <c r="I93">
        <v>185</v>
      </c>
      <c r="J93">
        <v>360</v>
      </c>
      <c r="K93">
        <v>1</v>
      </c>
      <c r="L93" t="s">
        <v>33</v>
      </c>
      <c r="M93">
        <f>Table1[[#This Row],[ApplicantIncome]]+Table1[[#This Row],[CoapplicantIncome]]</f>
        <v>13518</v>
      </c>
      <c r="N93">
        <f>Table1[[#This Row],[LoanAmount]] /Table1[[#This Row],[Total_Income ]]</f>
        <v>1.3685456428465749E-2</v>
      </c>
      <c r="O93">
        <f>Table1[[#This Row],[LoanAmount]]/Table1[[#This Row],[Loan_Amount_Term]]</f>
        <v>0.51388888888888884</v>
      </c>
      <c r="P93">
        <f>IF(Table1[[#This Row],[Total_Income ]]&gt;=AVERAGE(Table1[[#This Row],[Total_Income ]]),1,0)</f>
        <v>1</v>
      </c>
      <c r="Q93">
        <f>IF(Table1[[#This Row],[LoanAmount]]&gt;=AVERAGE(Table1[[#This Row],[LoanAmount]]),1,0)</f>
        <v>1</v>
      </c>
    </row>
    <row r="94" spans="1:17">
      <c r="A94" t="s">
        <v>119</v>
      </c>
      <c r="B94" t="s">
        <v>18</v>
      </c>
      <c r="C94" t="s">
        <v>19</v>
      </c>
      <c r="D94" s="1">
        <v>1</v>
      </c>
      <c r="E94" t="s">
        <v>20</v>
      </c>
      <c r="F94" t="s">
        <v>21</v>
      </c>
      <c r="G94">
        <v>4364</v>
      </c>
      <c r="H94">
        <v>2500</v>
      </c>
      <c r="I94">
        <v>100</v>
      </c>
      <c r="J94">
        <v>360</v>
      </c>
      <c r="K94">
        <v>1</v>
      </c>
      <c r="L94" t="s">
        <v>31</v>
      </c>
      <c r="M94">
        <f>Table1[[#This Row],[ApplicantIncome]]+Table1[[#This Row],[CoapplicantIncome]]</f>
        <v>6864</v>
      </c>
      <c r="N94">
        <f>Table1[[#This Row],[LoanAmount]] /Table1[[#This Row],[Total_Income ]]</f>
        <v>1.4568764568764568E-2</v>
      </c>
      <c r="O94">
        <f>Table1[[#This Row],[LoanAmount]]/Table1[[#This Row],[Loan_Amount_Term]]</f>
        <v>0.27777777777777779</v>
      </c>
      <c r="P94">
        <f>IF(Table1[[#This Row],[Total_Income ]]&gt;=AVERAGE(Table1[[#This Row],[Total_Income ]]),1,0)</f>
        <v>1</v>
      </c>
      <c r="Q94">
        <f>IF(Table1[[#This Row],[LoanAmount]]&gt;=AVERAGE(Table1[[#This Row],[LoanAmount]]),1,0)</f>
        <v>1</v>
      </c>
    </row>
    <row r="95" spans="1:17">
      <c r="A95" t="s">
        <v>120</v>
      </c>
      <c r="B95" t="s">
        <v>30</v>
      </c>
      <c r="C95" t="s">
        <v>19</v>
      </c>
      <c r="D95" s="1" t="s">
        <v>39</v>
      </c>
      <c r="E95" t="s">
        <v>27</v>
      </c>
      <c r="F95" t="s">
        <v>21</v>
      </c>
      <c r="G95">
        <v>4766</v>
      </c>
      <c r="H95">
        <v>1646</v>
      </c>
      <c r="I95">
        <v>123</v>
      </c>
      <c r="J95">
        <v>360</v>
      </c>
      <c r="K95">
        <v>1</v>
      </c>
      <c r="L95" t="s">
        <v>31</v>
      </c>
      <c r="M95">
        <f>Table1[[#This Row],[ApplicantIncome]]+Table1[[#This Row],[CoapplicantIncome]]</f>
        <v>6412</v>
      </c>
      <c r="N95">
        <f>Table1[[#This Row],[LoanAmount]] /Table1[[#This Row],[Total_Income ]]</f>
        <v>1.9182782283218965E-2</v>
      </c>
      <c r="O95">
        <f>Table1[[#This Row],[LoanAmount]]/Table1[[#This Row],[Loan_Amount_Term]]</f>
        <v>0.34166666666666667</v>
      </c>
      <c r="P95">
        <f>IF(Table1[[#This Row],[Total_Income ]]&gt;=AVERAGE(Table1[[#This Row],[Total_Income ]]),1,0)</f>
        <v>1</v>
      </c>
      <c r="Q95">
        <f>IF(Table1[[#This Row],[LoanAmount]]&gt;=AVERAGE(Table1[[#This Row],[LoanAmount]]),1,0)</f>
        <v>1</v>
      </c>
    </row>
    <row r="96" spans="1:17">
      <c r="A96" t="s">
        <v>121</v>
      </c>
      <c r="B96" t="s">
        <v>18</v>
      </c>
      <c r="C96" t="s">
        <v>19</v>
      </c>
      <c r="D96" s="1">
        <v>1</v>
      </c>
      <c r="E96" t="s">
        <v>20</v>
      </c>
      <c r="F96" t="s">
        <v>21</v>
      </c>
      <c r="G96">
        <v>4609</v>
      </c>
      <c r="H96">
        <v>2333</v>
      </c>
      <c r="I96">
        <v>110</v>
      </c>
      <c r="J96">
        <v>360</v>
      </c>
      <c r="K96">
        <v>0</v>
      </c>
      <c r="L96" t="s">
        <v>31</v>
      </c>
      <c r="M96">
        <f>Table1[[#This Row],[ApplicantIncome]]+Table1[[#This Row],[CoapplicantIncome]]</f>
        <v>6942</v>
      </c>
      <c r="N96">
        <f>Table1[[#This Row],[LoanAmount]] /Table1[[#This Row],[Total_Income ]]</f>
        <v>1.5845577643330451E-2</v>
      </c>
      <c r="O96">
        <f>Table1[[#This Row],[LoanAmount]]/Table1[[#This Row],[Loan_Amount_Term]]</f>
        <v>0.30555555555555558</v>
      </c>
      <c r="P96">
        <f>IF(Table1[[#This Row],[Total_Income ]]&gt;=AVERAGE(Table1[[#This Row],[Total_Income ]]),1,0)</f>
        <v>1</v>
      </c>
      <c r="Q96">
        <f>IF(Table1[[#This Row],[LoanAmount]]&gt;=AVERAGE(Table1[[#This Row],[LoanAmount]]),1,0)</f>
        <v>1</v>
      </c>
    </row>
    <row r="97" spans="1:17">
      <c r="A97" t="s">
        <v>122</v>
      </c>
      <c r="B97" t="s">
        <v>18</v>
      </c>
      <c r="C97" t="s">
        <v>19</v>
      </c>
      <c r="D97" s="1">
        <v>0</v>
      </c>
      <c r="E97" t="s">
        <v>20</v>
      </c>
      <c r="F97" t="s">
        <v>21</v>
      </c>
      <c r="G97">
        <v>6260</v>
      </c>
      <c r="H97">
        <v>0</v>
      </c>
      <c r="I97">
        <v>256</v>
      </c>
      <c r="J97">
        <v>360</v>
      </c>
      <c r="K97">
        <v>1</v>
      </c>
      <c r="L97" t="s">
        <v>31</v>
      </c>
      <c r="M97">
        <f>Table1[[#This Row],[ApplicantIncome]]+Table1[[#This Row],[CoapplicantIncome]]</f>
        <v>6260</v>
      </c>
      <c r="N97">
        <f>Table1[[#This Row],[LoanAmount]] /Table1[[#This Row],[Total_Income ]]</f>
        <v>4.0894568690095848E-2</v>
      </c>
      <c r="O97">
        <f>Table1[[#This Row],[LoanAmount]]/Table1[[#This Row],[Loan_Amount_Term]]</f>
        <v>0.71111111111111114</v>
      </c>
      <c r="P97">
        <f>IF(Table1[[#This Row],[Total_Income ]]&gt;=AVERAGE(Table1[[#This Row],[Total_Income ]]),1,0)</f>
        <v>1</v>
      </c>
      <c r="Q97">
        <f>IF(Table1[[#This Row],[LoanAmount]]&gt;=AVERAGE(Table1[[#This Row],[LoanAmount]]),1,0)</f>
        <v>1</v>
      </c>
    </row>
    <row r="98" spans="1:17">
      <c r="A98" t="s">
        <v>123</v>
      </c>
      <c r="B98" t="s">
        <v>18</v>
      </c>
      <c r="C98" t="s">
        <v>19</v>
      </c>
      <c r="D98" s="1" t="s">
        <v>39</v>
      </c>
      <c r="E98" t="s">
        <v>20</v>
      </c>
      <c r="F98" t="s">
        <v>21</v>
      </c>
      <c r="G98">
        <v>3333</v>
      </c>
      <c r="H98">
        <v>4200</v>
      </c>
      <c r="I98">
        <v>140</v>
      </c>
      <c r="J98">
        <v>360</v>
      </c>
      <c r="K98">
        <v>1</v>
      </c>
      <c r="L98" t="s">
        <v>22</v>
      </c>
      <c r="M98">
        <f>Table1[[#This Row],[ApplicantIncome]]+Table1[[#This Row],[CoapplicantIncome]]</f>
        <v>7533</v>
      </c>
      <c r="N98">
        <f>Table1[[#This Row],[LoanAmount]] /Table1[[#This Row],[Total_Income ]]</f>
        <v>1.8584893136864462E-2</v>
      </c>
      <c r="O98">
        <f>Table1[[#This Row],[LoanAmount]]/Table1[[#This Row],[Loan_Amount_Term]]</f>
        <v>0.3888888888888889</v>
      </c>
      <c r="P98">
        <f>IF(Table1[[#This Row],[Total_Income ]]&gt;=AVERAGE(Table1[[#This Row],[Total_Income ]]),1,0)</f>
        <v>1</v>
      </c>
      <c r="Q98">
        <f>IF(Table1[[#This Row],[LoanAmount]]&gt;=AVERAGE(Table1[[#This Row],[LoanAmount]]),1,0)</f>
        <v>1</v>
      </c>
    </row>
    <row r="99" spans="1:17">
      <c r="A99" t="s">
        <v>124</v>
      </c>
      <c r="B99" t="s">
        <v>18</v>
      </c>
      <c r="C99" t="s">
        <v>19</v>
      </c>
      <c r="D99" s="1" t="s">
        <v>39</v>
      </c>
      <c r="E99" t="s">
        <v>20</v>
      </c>
      <c r="F99" t="s">
        <v>21</v>
      </c>
      <c r="G99">
        <v>3500</v>
      </c>
      <c r="H99">
        <v>3250</v>
      </c>
      <c r="I99">
        <v>61</v>
      </c>
      <c r="J99">
        <v>360</v>
      </c>
      <c r="K99">
        <v>1</v>
      </c>
      <c r="L99" t="s">
        <v>31</v>
      </c>
      <c r="M99">
        <f>Table1[[#This Row],[ApplicantIncome]]+Table1[[#This Row],[CoapplicantIncome]]</f>
        <v>6750</v>
      </c>
      <c r="N99">
        <f>Table1[[#This Row],[LoanAmount]] /Table1[[#This Row],[Total_Income ]]</f>
        <v>9.0370370370370379E-3</v>
      </c>
      <c r="O99">
        <f>Table1[[#This Row],[LoanAmount]]/Table1[[#This Row],[Loan_Amount_Term]]</f>
        <v>0.16944444444444445</v>
      </c>
      <c r="P99">
        <f>IF(Table1[[#This Row],[Total_Income ]]&gt;=AVERAGE(Table1[[#This Row],[Total_Income ]]),1,0)</f>
        <v>1</v>
      </c>
      <c r="Q99">
        <f>IF(Table1[[#This Row],[LoanAmount]]&gt;=AVERAGE(Table1[[#This Row],[LoanAmount]]),1,0)</f>
        <v>1</v>
      </c>
    </row>
    <row r="100" spans="1:17">
      <c r="A100" t="s">
        <v>125</v>
      </c>
      <c r="B100" t="s">
        <v>18</v>
      </c>
      <c r="C100" t="s">
        <v>19</v>
      </c>
      <c r="D100" s="1">
        <v>0</v>
      </c>
      <c r="E100" t="s">
        <v>20</v>
      </c>
      <c r="F100" t="s">
        <v>21</v>
      </c>
      <c r="G100">
        <v>9719</v>
      </c>
      <c r="H100">
        <v>0</v>
      </c>
      <c r="I100">
        <v>188</v>
      </c>
      <c r="J100">
        <v>360</v>
      </c>
      <c r="K100">
        <v>0</v>
      </c>
      <c r="L100" t="s">
        <v>22</v>
      </c>
      <c r="M100">
        <f>Table1[[#This Row],[ApplicantIncome]]+Table1[[#This Row],[CoapplicantIncome]]</f>
        <v>9719</v>
      </c>
      <c r="N100">
        <f>Table1[[#This Row],[LoanAmount]] /Table1[[#This Row],[Total_Income ]]</f>
        <v>1.9343553863566211E-2</v>
      </c>
      <c r="O100">
        <f>Table1[[#This Row],[LoanAmount]]/Table1[[#This Row],[Loan_Amount_Term]]</f>
        <v>0.52222222222222225</v>
      </c>
      <c r="P100">
        <f>IF(Table1[[#This Row],[Total_Income ]]&gt;=AVERAGE(Table1[[#This Row],[Total_Income ]]),1,0)</f>
        <v>1</v>
      </c>
      <c r="Q100">
        <f>IF(Table1[[#This Row],[LoanAmount]]&gt;=AVERAGE(Table1[[#This Row],[LoanAmount]]),1,0)</f>
        <v>1</v>
      </c>
    </row>
    <row r="101" spans="1:17">
      <c r="A101" t="s">
        <v>126</v>
      </c>
      <c r="B101" t="s">
        <v>30</v>
      </c>
      <c r="C101" t="s">
        <v>19</v>
      </c>
      <c r="D101" s="1">
        <v>0</v>
      </c>
      <c r="E101" t="s">
        <v>20</v>
      </c>
      <c r="F101" t="s">
        <v>21</v>
      </c>
      <c r="G101">
        <v>6835</v>
      </c>
      <c r="H101">
        <v>0</v>
      </c>
      <c r="I101">
        <v>131</v>
      </c>
      <c r="J101">
        <v>480</v>
      </c>
      <c r="K101">
        <v>1</v>
      </c>
      <c r="L101" t="s">
        <v>31</v>
      </c>
      <c r="M101">
        <f>Table1[[#This Row],[ApplicantIncome]]+Table1[[#This Row],[CoapplicantIncome]]</f>
        <v>6835</v>
      </c>
      <c r="N101">
        <f>Table1[[#This Row],[LoanAmount]] /Table1[[#This Row],[Total_Income ]]</f>
        <v>1.9166057059253842E-2</v>
      </c>
      <c r="O101">
        <f>Table1[[#This Row],[LoanAmount]]/Table1[[#This Row],[Loan_Amount_Term]]</f>
        <v>0.27291666666666664</v>
      </c>
      <c r="P101">
        <f>IF(Table1[[#This Row],[Total_Income ]]&gt;=AVERAGE(Table1[[#This Row],[Total_Income ]]),1,0)</f>
        <v>1</v>
      </c>
      <c r="Q101">
        <f>IF(Table1[[#This Row],[LoanAmount]]&gt;=AVERAGE(Table1[[#This Row],[LoanAmount]]),1,0)</f>
        <v>1</v>
      </c>
    </row>
    <row r="102" spans="1:17">
      <c r="A102" t="s">
        <v>127</v>
      </c>
      <c r="B102" t="s">
        <v>18</v>
      </c>
      <c r="C102" t="s">
        <v>21</v>
      </c>
      <c r="D102" s="1">
        <v>1</v>
      </c>
      <c r="E102" t="s">
        <v>20</v>
      </c>
      <c r="F102" t="s">
        <v>21</v>
      </c>
      <c r="G102">
        <v>4452</v>
      </c>
      <c r="H102">
        <v>0</v>
      </c>
      <c r="I102">
        <v>116</v>
      </c>
      <c r="J102">
        <v>360</v>
      </c>
      <c r="K102">
        <v>1</v>
      </c>
      <c r="L102" t="s">
        <v>33</v>
      </c>
      <c r="M102">
        <f>Table1[[#This Row],[ApplicantIncome]]+Table1[[#This Row],[CoapplicantIncome]]</f>
        <v>4452</v>
      </c>
      <c r="N102">
        <f>Table1[[#This Row],[LoanAmount]] /Table1[[#This Row],[Total_Income ]]</f>
        <v>2.605570530098832E-2</v>
      </c>
      <c r="O102">
        <f>Table1[[#This Row],[LoanAmount]]/Table1[[#This Row],[Loan_Amount_Term]]</f>
        <v>0.32222222222222224</v>
      </c>
      <c r="P102">
        <f>IF(Table1[[#This Row],[Total_Income ]]&gt;=AVERAGE(Table1[[#This Row],[Total_Income ]]),1,0)</f>
        <v>1</v>
      </c>
      <c r="Q102">
        <f>IF(Table1[[#This Row],[LoanAmount]]&gt;=AVERAGE(Table1[[#This Row],[LoanAmount]]),1,0)</f>
        <v>1</v>
      </c>
    </row>
    <row r="103" spans="1:17">
      <c r="A103" t="s">
        <v>128</v>
      </c>
      <c r="B103" t="s">
        <v>18</v>
      </c>
      <c r="C103" t="s">
        <v>19</v>
      </c>
      <c r="D103" s="1">
        <v>2</v>
      </c>
      <c r="E103" t="s">
        <v>20</v>
      </c>
      <c r="F103" t="s">
        <v>21</v>
      </c>
      <c r="G103">
        <v>2262</v>
      </c>
      <c r="H103">
        <v>0</v>
      </c>
      <c r="I103">
        <v>50</v>
      </c>
      <c r="J103">
        <v>180</v>
      </c>
      <c r="K103">
        <v>1</v>
      </c>
      <c r="L103" t="s">
        <v>31</v>
      </c>
      <c r="M103">
        <f>Table1[[#This Row],[ApplicantIncome]]+Table1[[#This Row],[CoapplicantIncome]]</f>
        <v>2262</v>
      </c>
      <c r="N103">
        <f>Table1[[#This Row],[LoanAmount]] /Table1[[#This Row],[Total_Income ]]</f>
        <v>2.2104332449160036E-2</v>
      </c>
      <c r="O103">
        <f>Table1[[#This Row],[LoanAmount]]/Table1[[#This Row],[Loan_Amount_Term]]</f>
        <v>0.27777777777777779</v>
      </c>
      <c r="P103">
        <f>IF(Table1[[#This Row],[Total_Income ]]&gt;=AVERAGE(Table1[[#This Row],[Total_Income ]]),1,0)</f>
        <v>1</v>
      </c>
      <c r="Q103">
        <f>IF(Table1[[#This Row],[LoanAmount]]&gt;=AVERAGE(Table1[[#This Row],[LoanAmount]]),1,0)</f>
        <v>1</v>
      </c>
    </row>
    <row r="104" spans="1:17">
      <c r="A104" t="s">
        <v>129</v>
      </c>
      <c r="B104" t="s">
        <v>18</v>
      </c>
      <c r="C104" t="s">
        <v>19</v>
      </c>
      <c r="D104" s="1">
        <v>0</v>
      </c>
      <c r="E104" t="s">
        <v>20</v>
      </c>
      <c r="F104" t="s">
        <v>21</v>
      </c>
      <c r="G104">
        <v>3901</v>
      </c>
      <c r="H104">
        <v>0</v>
      </c>
      <c r="I104">
        <v>107</v>
      </c>
      <c r="J104">
        <v>360</v>
      </c>
      <c r="K104">
        <v>1</v>
      </c>
      <c r="L104" t="s">
        <v>22</v>
      </c>
      <c r="M104">
        <f>Table1[[#This Row],[ApplicantIncome]]+Table1[[#This Row],[CoapplicantIncome]]</f>
        <v>3901</v>
      </c>
      <c r="N104">
        <f>Table1[[#This Row],[LoanAmount]] /Table1[[#This Row],[Total_Income ]]</f>
        <v>2.7428864393745193E-2</v>
      </c>
      <c r="O104">
        <f>Table1[[#This Row],[LoanAmount]]/Table1[[#This Row],[Loan_Amount_Term]]</f>
        <v>0.29722222222222222</v>
      </c>
      <c r="P104">
        <f>IF(Table1[[#This Row],[Total_Income ]]&gt;=AVERAGE(Table1[[#This Row],[Total_Income ]]),1,0)</f>
        <v>1</v>
      </c>
      <c r="Q104">
        <f>IF(Table1[[#This Row],[LoanAmount]]&gt;=AVERAGE(Table1[[#This Row],[LoanAmount]]),1,0)</f>
        <v>1</v>
      </c>
    </row>
    <row r="105" spans="1:17">
      <c r="A105" t="s">
        <v>130</v>
      </c>
      <c r="B105" t="s">
        <v>30</v>
      </c>
      <c r="C105" t="s">
        <v>19</v>
      </c>
      <c r="D105" s="1">
        <v>0</v>
      </c>
      <c r="E105" t="s">
        <v>27</v>
      </c>
      <c r="F105" t="s">
        <v>21</v>
      </c>
      <c r="G105">
        <v>2687</v>
      </c>
      <c r="H105">
        <v>0</v>
      </c>
      <c r="I105">
        <v>200</v>
      </c>
      <c r="J105">
        <v>360</v>
      </c>
      <c r="K105">
        <v>1</v>
      </c>
      <c r="L105" t="s">
        <v>33</v>
      </c>
      <c r="M105">
        <f>Table1[[#This Row],[ApplicantIncome]]+Table1[[#This Row],[CoapplicantIncome]]</f>
        <v>2687</v>
      </c>
      <c r="N105">
        <f>Table1[[#This Row],[LoanAmount]] /Table1[[#This Row],[Total_Income ]]</f>
        <v>7.4432452549311495E-2</v>
      </c>
      <c r="O105">
        <f>Table1[[#This Row],[LoanAmount]]/Table1[[#This Row],[Loan_Amount_Term]]</f>
        <v>0.55555555555555558</v>
      </c>
      <c r="P105">
        <f>IF(Table1[[#This Row],[Total_Income ]]&gt;=AVERAGE(Table1[[#This Row],[Total_Income ]]),1,0)</f>
        <v>1</v>
      </c>
      <c r="Q105">
        <f>IF(Table1[[#This Row],[LoanAmount]]&gt;=AVERAGE(Table1[[#This Row],[LoanAmount]]),1,0)</f>
        <v>1</v>
      </c>
    </row>
    <row r="106" spans="1:17">
      <c r="A106" t="s">
        <v>131</v>
      </c>
      <c r="B106" t="s">
        <v>18</v>
      </c>
      <c r="C106" t="s">
        <v>21</v>
      </c>
      <c r="D106" s="1">
        <v>0</v>
      </c>
      <c r="E106" t="s">
        <v>20</v>
      </c>
      <c r="F106" t="s">
        <v>19</v>
      </c>
      <c r="G106">
        <v>2243</v>
      </c>
      <c r="H106">
        <v>2233</v>
      </c>
      <c r="I106">
        <v>119</v>
      </c>
      <c r="J106">
        <v>360</v>
      </c>
      <c r="K106">
        <v>1</v>
      </c>
      <c r="L106" t="s">
        <v>31</v>
      </c>
      <c r="M106">
        <f>Table1[[#This Row],[ApplicantIncome]]+Table1[[#This Row],[CoapplicantIncome]]</f>
        <v>4476</v>
      </c>
      <c r="N106">
        <f>Table1[[#This Row],[LoanAmount]] /Table1[[#This Row],[Total_Income ]]</f>
        <v>2.6586237712243076E-2</v>
      </c>
      <c r="O106">
        <f>Table1[[#This Row],[LoanAmount]]/Table1[[#This Row],[Loan_Amount_Term]]</f>
        <v>0.33055555555555555</v>
      </c>
      <c r="P106">
        <f>IF(Table1[[#This Row],[Total_Income ]]&gt;=AVERAGE(Table1[[#This Row],[Total_Income ]]),1,0)</f>
        <v>1</v>
      </c>
      <c r="Q106">
        <f>IF(Table1[[#This Row],[LoanAmount]]&gt;=AVERAGE(Table1[[#This Row],[LoanAmount]]),1,0)</f>
        <v>1</v>
      </c>
    </row>
    <row r="107" spans="1:17">
      <c r="A107" t="s">
        <v>132</v>
      </c>
      <c r="B107" t="s">
        <v>18</v>
      </c>
      <c r="C107" t="s">
        <v>19</v>
      </c>
      <c r="D107" s="1" t="s">
        <v>39</v>
      </c>
      <c r="E107" t="s">
        <v>20</v>
      </c>
      <c r="F107" t="s">
        <v>21</v>
      </c>
      <c r="G107">
        <v>3417</v>
      </c>
      <c r="H107">
        <v>1287</v>
      </c>
      <c r="I107">
        <v>120</v>
      </c>
      <c r="J107">
        <v>360</v>
      </c>
      <c r="K107">
        <v>1</v>
      </c>
      <c r="L107" t="s">
        <v>31</v>
      </c>
      <c r="M107">
        <f>Table1[[#This Row],[ApplicantIncome]]+Table1[[#This Row],[CoapplicantIncome]]</f>
        <v>4704</v>
      </c>
      <c r="N107">
        <f>Table1[[#This Row],[LoanAmount]] /Table1[[#This Row],[Total_Income ]]</f>
        <v>2.5510204081632654E-2</v>
      </c>
      <c r="O107">
        <f>Table1[[#This Row],[LoanAmount]]/Table1[[#This Row],[Loan_Amount_Term]]</f>
        <v>0.33333333333333331</v>
      </c>
      <c r="P107">
        <f>IF(Table1[[#This Row],[Total_Income ]]&gt;=AVERAGE(Table1[[#This Row],[Total_Income ]]),1,0)</f>
        <v>1</v>
      </c>
      <c r="Q107">
        <f>IF(Table1[[#This Row],[LoanAmount]]&gt;=AVERAGE(Table1[[#This Row],[LoanAmount]]),1,0)</f>
        <v>1</v>
      </c>
    </row>
    <row r="108" spans="1:17">
      <c r="A108" t="s">
        <v>133</v>
      </c>
      <c r="B108" t="s">
        <v>18</v>
      </c>
      <c r="C108" t="s">
        <v>21</v>
      </c>
      <c r="D108" s="1">
        <v>0</v>
      </c>
      <c r="E108" t="s">
        <v>20</v>
      </c>
      <c r="F108" t="s">
        <v>21</v>
      </c>
      <c r="G108">
        <v>1596</v>
      </c>
      <c r="H108">
        <v>1760</v>
      </c>
      <c r="I108">
        <v>140</v>
      </c>
      <c r="J108">
        <v>360</v>
      </c>
      <c r="K108">
        <v>1</v>
      </c>
      <c r="L108" t="s">
        <v>22</v>
      </c>
      <c r="M108">
        <f>Table1[[#This Row],[ApplicantIncome]]+Table1[[#This Row],[CoapplicantIncome]]</f>
        <v>3356</v>
      </c>
      <c r="N108">
        <f>Table1[[#This Row],[LoanAmount]] /Table1[[#This Row],[Total_Income ]]</f>
        <v>4.1716328963051254E-2</v>
      </c>
      <c r="O108">
        <f>Table1[[#This Row],[LoanAmount]]/Table1[[#This Row],[Loan_Amount_Term]]</f>
        <v>0.3888888888888889</v>
      </c>
      <c r="P108">
        <f>IF(Table1[[#This Row],[Total_Income ]]&gt;=AVERAGE(Table1[[#This Row],[Total_Income ]]),1,0)</f>
        <v>1</v>
      </c>
      <c r="Q108">
        <f>IF(Table1[[#This Row],[LoanAmount]]&gt;=AVERAGE(Table1[[#This Row],[LoanAmount]]),1,0)</f>
        <v>1</v>
      </c>
    </row>
    <row r="109" spans="1:17">
      <c r="A109" t="s">
        <v>134</v>
      </c>
      <c r="B109" t="s">
        <v>30</v>
      </c>
      <c r="C109" t="s">
        <v>19</v>
      </c>
      <c r="D109" s="1">
        <v>0</v>
      </c>
      <c r="E109" t="s">
        <v>20</v>
      </c>
      <c r="F109" t="s">
        <v>21</v>
      </c>
      <c r="G109">
        <v>4513</v>
      </c>
      <c r="H109">
        <v>0</v>
      </c>
      <c r="I109">
        <v>165</v>
      </c>
      <c r="J109">
        <v>360</v>
      </c>
      <c r="K109">
        <v>1</v>
      </c>
      <c r="L109" t="s">
        <v>33</v>
      </c>
      <c r="M109">
        <f>Table1[[#This Row],[ApplicantIncome]]+Table1[[#This Row],[CoapplicantIncome]]</f>
        <v>4513</v>
      </c>
      <c r="N109">
        <f>Table1[[#This Row],[LoanAmount]] /Table1[[#This Row],[Total_Income ]]</f>
        <v>3.6561045867493903E-2</v>
      </c>
      <c r="O109">
        <f>Table1[[#This Row],[LoanAmount]]/Table1[[#This Row],[Loan_Amount_Term]]</f>
        <v>0.45833333333333331</v>
      </c>
      <c r="P109">
        <f>IF(Table1[[#This Row],[Total_Income ]]&gt;=AVERAGE(Table1[[#This Row],[Total_Income ]]),1,0)</f>
        <v>1</v>
      </c>
      <c r="Q109">
        <f>IF(Table1[[#This Row],[LoanAmount]]&gt;=AVERAGE(Table1[[#This Row],[LoanAmount]]),1,0)</f>
        <v>1</v>
      </c>
    </row>
    <row r="110" spans="1:17">
      <c r="A110" t="s">
        <v>135</v>
      </c>
      <c r="B110" t="s">
        <v>18</v>
      </c>
      <c r="C110" t="s">
        <v>19</v>
      </c>
      <c r="D110" s="1">
        <v>0</v>
      </c>
      <c r="E110" t="s">
        <v>20</v>
      </c>
      <c r="F110" t="s">
        <v>21</v>
      </c>
      <c r="G110">
        <v>4500</v>
      </c>
      <c r="H110">
        <v>0</v>
      </c>
      <c r="I110">
        <v>108</v>
      </c>
      <c r="J110">
        <v>360</v>
      </c>
      <c r="K110">
        <v>0</v>
      </c>
      <c r="L110" t="s">
        <v>31</v>
      </c>
      <c r="M110">
        <f>Table1[[#This Row],[ApplicantIncome]]+Table1[[#This Row],[CoapplicantIncome]]</f>
        <v>4500</v>
      </c>
      <c r="N110">
        <f>Table1[[#This Row],[LoanAmount]] /Table1[[#This Row],[Total_Income ]]</f>
        <v>2.4E-2</v>
      </c>
      <c r="O110">
        <f>Table1[[#This Row],[LoanAmount]]/Table1[[#This Row],[Loan_Amount_Term]]</f>
        <v>0.3</v>
      </c>
      <c r="P110">
        <f>IF(Table1[[#This Row],[Total_Income ]]&gt;=AVERAGE(Table1[[#This Row],[Total_Income ]]),1,0)</f>
        <v>1</v>
      </c>
      <c r="Q110">
        <f>IF(Table1[[#This Row],[LoanAmount]]&gt;=AVERAGE(Table1[[#This Row],[LoanAmount]]),1,0)</f>
        <v>1</v>
      </c>
    </row>
    <row r="111" spans="1:17">
      <c r="A111" t="s">
        <v>136</v>
      </c>
      <c r="B111" t="s">
        <v>30</v>
      </c>
      <c r="C111" t="s">
        <v>19</v>
      </c>
      <c r="D111" s="1">
        <v>0</v>
      </c>
      <c r="E111" t="s">
        <v>27</v>
      </c>
      <c r="F111" t="s">
        <v>21</v>
      </c>
      <c r="G111">
        <v>4523</v>
      </c>
      <c r="H111">
        <v>1350</v>
      </c>
      <c r="I111">
        <v>93</v>
      </c>
      <c r="J111">
        <v>360</v>
      </c>
      <c r="K111">
        <v>0</v>
      </c>
      <c r="L111" t="s">
        <v>22</v>
      </c>
      <c r="M111">
        <f>Table1[[#This Row],[ApplicantIncome]]+Table1[[#This Row],[CoapplicantIncome]]</f>
        <v>5873</v>
      </c>
      <c r="N111">
        <f>Table1[[#This Row],[LoanAmount]] /Table1[[#This Row],[Total_Income ]]</f>
        <v>1.5835177932913332E-2</v>
      </c>
      <c r="O111">
        <f>Table1[[#This Row],[LoanAmount]]/Table1[[#This Row],[Loan_Amount_Term]]</f>
        <v>0.25833333333333336</v>
      </c>
      <c r="P111">
        <f>IF(Table1[[#This Row],[Total_Income ]]&gt;=AVERAGE(Table1[[#This Row],[Total_Income ]]),1,0)</f>
        <v>1</v>
      </c>
      <c r="Q111">
        <f>IF(Table1[[#This Row],[LoanAmount]]&gt;=AVERAGE(Table1[[#This Row],[LoanAmount]]),1,0)</f>
        <v>1</v>
      </c>
    </row>
    <row r="112" spans="1:17">
      <c r="A112" t="s">
        <v>137</v>
      </c>
      <c r="B112" t="s">
        <v>30</v>
      </c>
      <c r="C112" t="s">
        <v>21</v>
      </c>
      <c r="D112" s="1">
        <v>2</v>
      </c>
      <c r="E112" t="s">
        <v>20</v>
      </c>
      <c r="F112" t="s">
        <v>21</v>
      </c>
      <c r="G112">
        <v>4742</v>
      </c>
      <c r="H112">
        <v>0</v>
      </c>
      <c r="I112">
        <v>102</v>
      </c>
      <c r="J112">
        <v>360</v>
      </c>
      <c r="K112">
        <v>0</v>
      </c>
      <c r="L112" t="s">
        <v>31</v>
      </c>
      <c r="M112">
        <f>Table1[[#This Row],[ApplicantIncome]]+Table1[[#This Row],[CoapplicantIncome]]</f>
        <v>4742</v>
      </c>
      <c r="N112">
        <f>Table1[[#This Row],[LoanAmount]] /Table1[[#This Row],[Total_Income ]]</f>
        <v>2.1509911429776464E-2</v>
      </c>
      <c r="O112">
        <f>Table1[[#This Row],[LoanAmount]]/Table1[[#This Row],[Loan_Amount_Term]]</f>
        <v>0.28333333333333333</v>
      </c>
      <c r="P112">
        <f>IF(Table1[[#This Row],[Total_Income ]]&gt;=AVERAGE(Table1[[#This Row],[Total_Income ]]),1,0)</f>
        <v>1</v>
      </c>
      <c r="Q112">
        <f>IF(Table1[[#This Row],[LoanAmount]]&gt;=AVERAGE(Table1[[#This Row],[LoanAmount]]),1,0)</f>
        <v>1</v>
      </c>
    </row>
    <row r="113" spans="1:17">
      <c r="A113" t="s">
        <v>138</v>
      </c>
      <c r="B113" t="s">
        <v>18</v>
      </c>
      <c r="C113" t="s">
        <v>19</v>
      </c>
      <c r="D113" s="1">
        <v>0</v>
      </c>
      <c r="E113" t="s">
        <v>20</v>
      </c>
      <c r="F113" t="s">
        <v>21</v>
      </c>
      <c r="G113">
        <v>4082</v>
      </c>
      <c r="H113">
        <v>0</v>
      </c>
      <c r="I113">
        <v>122</v>
      </c>
      <c r="J113">
        <v>360</v>
      </c>
      <c r="K113">
        <v>1</v>
      </c>
      <c r="L113" t="s">
        <v>31</v>
      </c>
      <c r="M113">
        <f>Table1[[#This Row],[ApplicantIncome]]+Table1[[#This Row],[CoapplicantIncome]]</f>
        <v>4082</v>
      </c>
      <c r="N113">
        <f>Table1[[#This Row],[LoanAmount]] /Table1[[#This Row],[Total_Income ]]</f>
        <v>2.9887310142087214E-2</v>
      </c>
      <c r="O113">
        <f>Table1[[#This Row],[LoanAmount]]/Table1[[#This Row],[Loan_Amount_Term]]</f>
        <v>0.33888888888888891</v>
      </c>
      <c r="P113">
        <f>IF(Table1[[#This Row],[Total_Income ]]&gt;=AVERAGE(Table1[[#This Row],[Total_Income ]]),1,0)</f>
        <v>1</v>
      </c>
      <c r="Q113">
        <f>IF(Table1[[#This Row],[LoanAmount]]&gt;=AVERAGE(Table1[[#This Row],[LoanAmount]]),1,0)</f>
        <v>1</v>
      </c>
    </row>
    <row r="114" spans="1:17">
      <c r="A114" t="s">
        <v>139</v>
      </c>
      <c r="B114" t="s">
        <v>18</v>
      </c>
      <c r="C114" t="s">
        <v>21</v>
      </c>
      <c r="D114" s="1" t="s">
        <v>39</v>
      </c>
      <c r="E114" t="s">
        <v>20</v>
      </c>
      <c r="F114" t="s">
        <v>21</v>
      </c>
      <c r="G114">
        <v>3417</v>
      </c>
      <c r="H114">
        <v>0</v>
      </c>
      <c r="I114">
        <v>160</v>
      </c>
      <c r="J114">
        <v>360</v>
      </c>
      <c r="K114">
        <v>1</v>
      </c>
      <c r="L114" t="s">
        <v>22</v>
      </c>
      <c r="M114">
        <f>Table1[[#This Row],[ApplicantIncome]]+Table1[[#This Row],[CoapplicantIncome]]</f>
        <v>3417</v>
      </c>
      <c r="N114">
        <f>Table1[[#This Row],[LoanAmount]] /Table1[[#This Row],[Total_Income ]]</f>
        <v>4.6824700029265434E-2</v>
      </c>
      <c r="O114">
        <f>Table1[[#This Row],[LoanAmount]]/Table1[[#This Row],[Loan_Amount_Term]]</f>
        <v>0.44444444444444442</v>
      </c>
      <c r="P114">
        <f>IF(Table1[[#This Row],[Total_Income ]]&gt;=AVERAGE(Table1[[#This Row],[Total_Income ]]),1,0)</f>
        <v>1</v>
      </c>
      <c r="Q114">
        <f>IF(Table1[[#This Row],[LoanAmount]]&gt;=AVERAGE(Table1[[#This Row],[LoanAmount]]),1,0)</f>
        <v>1</v>
      </c>
    </row>
    <row r="115" spans="1:17">
      <c r="A115" t="s">
        <v>140</v>
      </c>
      <c r="B115" t="s">
        <v>30</v>
      </c>
      <c r="C115" t="s">
        <v>19</v>
      </c>
      <c r="D115" s="1">
        <v>0</v>
      </c>
      <c r="E115" t="s">
        <v>20</v>
      </c>
      <c r="F115" t="s">
        <v>21</v>
      </c>
      <c r="G115">
        <v>2922</v>
      </c>
      <c r="H115">
        <v>3396</v>
      </c>
      <c r="I115">
        <v>157</v>
      </c>
      <c r="J115">
        <v>360</v>
      </c>
      <c r="K115">
        <v>1</v>
      </c>
      <c r="L115" t="s">
        <v>31</v>
      </c>
      <c r="M115">
        <f>Table1[[#This Row],[ApplicantIncome]]+Table1[[#This Row],[CoapplicantIncome]]</f>
        <v>6318</v>
      </c>
      <c r="N115">
        <f>Table1[[#This Row],[LoanAmount]] /Table1[[#This Row],[Total_Income ]]</f>
        <v>2.4849635960747071E-2</v>
      </c>
      <c r="O115">
        <f>Table1[[#This Row],[LoanAmount]]/Table1[[#This Row],[Loan_Amount_Term]]</f>
        <v>0.43611111111111112</v>
      </c>
      <c r="P115">
        <f>IF(Table1[[#This Row],[Total_Income ]]&gt;=AVERAGE(Table1[[#This Row],[Total_Income ]]),1,0)</f>
        <v>1</v>
      </c>
      <c r="Q115">
        <f>IF(Table1[[#This Row],[LoanAmount]]&gt;=AVERAGE(Table1[[#This Row],[LoanAmount]]),1,0)</f>
        <v>1</v>
      </c>
    </row>
    <row r="116" spans="1:17">
      <c r="A116" t="s">
        <v>141</v>
      </c>
      <c r="B116" t="s">
        <v>18</v>
      </c>
      <c r="C116" t="s">
        <v>19</v>
      </c>
      <c r="D116" s="1">
        <v>1</v>
      </c>
      <c r="E116" t="s">
        <v>20</v>
      </c>
      <c r="F116" t="s">
        <v>21</v>
      </c>
      <c r="G116">
        <v>4167</v>
      </c>
      <c r="H116">
        <v>4754</v>
      </c>
      <c r="I116">
        <v>180</v>
      </c>
      <c r="J116">
        <v>360</v>
      </c>
      <c r="K116">
        <v>0</v>
      </c>
      <c r="L116" t="s">
        <v>33</v>
      </c>
      <c r="M116">
        <f>Table1[[#This Row],[ApplicantIncome]]+Table1[[#This Row],[CoapplicantIncome]]</f>
        <v>8921</v>
      </c>
      <c r="N116">
        <f>Table1[[#This Row],[LoanAmount]] /Table1[[#This Row],[Total_Income ]]</f>
        <v>2.0177110189440645E-2</v>
      </c>
      <c r="O116">
        <f>Table1[[#This Row],[LoanAmount]]/Table1[[#This Row],[Loan_Amount_Term]]</f>
        <v>0.5</v>
      </c>
      <c r="P116">
        <f>IF(Table1[[#This Row],[Total_Income ]]&gt;=AVERAGE(Table1[[#This Row],[Total_Income ]]),1,0)</f>
        <v>1</v>
      </c>
      <c r="Q116">
        <f>IF(Table1[[#This Row],[LoanAmount]]&gt;=AVERAGE(Table1[[#This Row],[LoanAmount]]),1,0)</f>
        <v>1</v>
      </c>
    </row>
    <row r="117" spans="1:17">
      <c r="A117" t="s">
        <v>142</v>
      </c>
      <c r="B117" t="s">
        <v>30</v>
      </c>
      <c r="C117" t="s">
        <v>21</v>
      </c>
      <c r="D117" s="1">
        <v>0</v>
      </c>
      <c r="E117" t="s">
        <v>20</v>
      </c>
      <c r="F117" t="s">
        <v>21</v>
      </c>
      <c r="G117">
        <v>4243</v>
      </c>
      <c r="H117">
        <v>4123</v>
      </c>
      <c r="I117">
        <v>80</v>
      </c>
      <c r="J117">
        <v>360</v>
      </c>
      <c r="K117">
        <v>0</v>
      </c>
      <c r="L117" t="s">
        <v>31</v>
      </c>
      <c r="M117">
        <f>Table1[[#This Row],[ApplicantIncome]]+Table1[[#This Row],[CoapplicantIncome]]</f>
        <v>8366</v>
      </c>
      <c r="N117">
        <f>Table1[[#This Row],[LoanAmount]] /Table1[[#This Row],[Total_Income ]]</f>
        <v>9.5625149414295951E-3</v>
      </c>
      <c r="O117">
        <f>Table1[[#This Row],[LoanAmount]]/Table1[[#This Row],[Loan_Amount_Term]]</f>
        <v>0.22222222222222221</v>
      </c>
      <c r="P117">
        <f>IF(Table1[[#This Row],[Total_Income ]]&gt;=AVERAGE(Table1[[#This Row],[Total_Income ]]),1,0)</f>
        <v>1</v>
      </c>
      <c r="Q117">
        <f>IF(Table1[[#This Row],[LoanAmount]]&gt;=AVERAGE(Table1[[#This Row],[LoanAmount]]),1,0)</f>
        <v>1</v>
      </c>
    </row>
    <row r="118" spans="1:17">
      <c r="A118" t="s">
        <v>143</v>
      </c>
      <c r="B118" t="s">
        <v>18</v>
      </c>
      <c r="C118" t="s">
        <v>21</v>
      </c>
      <c r="D118" s="1">
        <v>2</v>
      </c>
      <c r="E118" t="s">
        <v>27</v>
      </c>
      <c r="F118" t="s">
        <v>21</v>
      </c>
      <c r="G118">
        <v>0</v>
      </c>
      <c r="H118">
        <v>1760</v>
      </c>
      <c r="I118">
        <v>104</v>
      </c>
      <c r="J118">
        <v>360</v>
      </c>
      <c r="K118">
        <v>1</v>
      </c>
      <c r="L118" t="s">
        <v>31</v>
      </c>
      <c r="M118">
        <f>Table1[[#This Row],[ApplicantIncome]]+Table1[[#This Row],[CoapplicantIncome]]</f>
        <v>1760</v>
      </c>
      <c r="N118">
        <f>Table1[[#This Row],[LoanAmount]] /Table1[[#This Row],[Total_Income ]]</f>
        <v>5.909090909090909E-2</v>
      </c>
      <c r="O118">
        <f>Table1[[#This Row],[LoanAmount]]/Table1[[#This Row],[Loan_Amount_Term]]</f>
        <v>0.28888888888888886</v>
      </c>
      <c r="P118">
        <f>IF(Table1[[#This Row],[Total_Income ]]&gt;=AVERAGE(Table1[[#This Row],[Total_Income ]]),1,0)</f>
        <v>1</v>
      </c>
      <c r="Q118">
        <f>IF(Table1[[#This Row],[LoanAmount]]&gt;=AVERAGE(Table1[[#This Row],[LoanAmount]]),1,0)</f>
        <v>1</v>
      </c>
    </row>
    <row r="119" spans="1:17">
      <c r="A119" t="s">
        <v>144</v>
      </c>
      <c r="B119" t="s">
        <v>18</v>
      </c>
      <c r="C119" t="s">
        <v>19</v>
      </c>
      <c r="D119" s="1">
        <v>0</v>
      </c>
      <c r="E119" t="s">
        <v>20</v>
      </c>
      <c r="F119" t="s">
        <v>21</v>
      </c>
      <c r="G119">
        <v>1516</v>
      </c>
      <c r="H119">
        <v>2900</v>
      </c>
      <c r="I119">
        <v>213</v>
      </c>
      <c r="J119">
        <v>360</v>
      </c>
      <c r="K119">
        <v>0</v>
      </c>
      <c r="L119" t="s">
        <v>33</v>
      </c>
      <c r="M119">
        <f>Table1[[#This Row],[ApplicantIncome]]+Table1[[#This Row],[CoapplicantIncome]]</f>
        <v>4416</v>
      </c>
      <c r="N119">
        <f>Table1[[#This Row],[LoanAmount]] /Table1[[#This Row],[Total_Income ]]</f>
        <v>4.8233695652173912E-2</v>
      </c>
      <c r="O119">
        <f>Table1[[#This Row],[LoanAmount]]/Table1[[#This Row],[Loan_Amount_Term]]</f>
        <v>0.59166666666666667</v>
      </c>
      <c r="P119">
        <f>IF(Table1[[#This Row],[Total_Income ]]&gt;=AVERAGE(Table1[[#This Row],[Total_Income ]]),1,0)</f>
        <v>1</v>
      </c>
      <c r="Q119">
        <f>IF(Table1[[#This Row],[LoanAmount]]&gt;=AVERAGE(Table1[[#This Row],[LoanAmount]]),1,0)</f>
        <v>1</v>
      </c>
    </row>
    <row r="120" spans="1:17">
      <c r="A120" t="s">
        <v>145</v>
      </c>
      <c r="B120" t="s">
        <v>18</v>
      </c>
      <c r="C120" t="s">
        <v>21</v>
      </c>
      <c r="D120" s="1">
        <v>0</v>
      </c>
      <c r="E120" t="s">
        <v>20</v>
      </c>
      <c r="F120" t="s">
        <v>21</v>
      </c>
      <c r="G120">
        <v>1762</v>
      </c>
      <c r="H120">
        <v>2666</v>
      </c>
      <c r="I120">
        <v>65</v>
      </c>
      <c r="J120">
        <v>360</v>
      </c>
      <c r="K120">
        <v>1</v>
      </c>
      <c r="L120" t="s">
        <v>22</v>
      </c>
      <c r="M120">
        <f>Table1[[#This Row],[ApplicantIncome]]+Table1[[#This Row],[CoapplicantIncome]]</f>
        <v>4428</v>
      </c>
      <c r="N120">
        <f>Table1[[#This Row],[LoanAmount]] /Table1[[#This Row],[Total_Income ]]</f>
        <v>1.4679313459801264E-2</v>
      </c>
      <c r="O120">
        <f>Table1[[#This Row],[LoanAmount]]/Table1[[#This Row],[Loan_Amount_Term]]</f>
        <v>0.18055555555555555</v>
      </c>
      <c r="P120">
        <f>IF(Table1[[#This Row],[Total_Income ]]&gt;=AVERAGE(Table1[[#This Row],[Total_Income ]]),1,0)</f>
        <v>1</v>
      </c>
      <c r="Q120">
        <f>IF(Table1[[#This Row],[LoanAmount]]&gt;=AVERAGE(Table1[[#This Row],[LoanAmount]]),1,0)</f>
        <v>1</v>
      </c>
    </row>
    <row r="121" spans="1:17">
      <c r="A121" t="s">
        <v>146</v>
      </c>
      <c r="B121" t="s">
        <v>18</v>
      </c>
      <c r="C121" t="s">
        <v>19</v>
      </c>
      <c r="D121" s="1" t="s">
        <v>39</v>
      </c>
      <c r="E121" t="s">
        <v>20</v>
      </c>
      <c r="F121" t="s">
        <v>21</v>
      </c>
      <c r="G121">
        <v>724</v>
      </c>
      <c r="H121">
        <v>3510</v>
      </c>
      <c r="I121">
        <v>146</v>
      </c>
      <c r="J121">
        <v>360</v>
      </c>
      <c r="K121">
        <v>1</v>
      </c>
      <c r="L121" t="s">
        <v>33</v>
      </c>
      <c r="M121">
        <f>Table1[[#This Row],[ApplicantIncome]]+Table1[[#This Row],[CoapplicantIncome]]</f>
        <v>4234</v>
      </c>
      <c r="N121">
        <f>Table1[[#This Row],[LoanAmount]] /Table1[[#This Row],[Total_Income ]]</f>
        <v>3.4482758620689655E-2</v>
      </c>
      <c r="O121">
        <f>Table1[[#This Row],[LoanAmount]]/Table1[[#This Row],[Loan_Amount_Term]]</f>
        <v>0.40555555555555556</v>
      </c>
      <c r="P121">
        <f>IF(Table1[[#This Row],[Total_Income ]]&gt;=AVERAGE(Table1[[#This Row],[Total_Income ]]),1,0)</f>
        <v>1</v>
      </c>
      <c r="Q121">
        <f>IF(Table1[[#This Row],[LoanAmount]]&gt;=AVERAGE(Table1[[#This Row],[LoanAmount]]),1,0)</f>
        <v>1</v>
      </c>
    </row>
    <row r="122" spans="1:17">
      <c r="A122" t="s">
        <v>147</v>
      </c>
      <c r="B122" t="s">
        <v>18</v>
      </c>
      <c r="C122" t="s">
        <v>21</v>
      </c>
      <c r="D122" s="1">
        <v>0</v>
      </c>
      <c r="E122" t="s">
        <v>20</v>
      </c>
      <c r="F122" t="s">
        <v>21</v>
      </c>
      <c r="G122">
        <v>3125</v>
      </c>
      <c r="H122">
        <v>0</v>
      </c>
      <c r="I122">
        <v>135</v>
      </c>
      <c r="J122">
        <v>360</v>
      </c>
      <c r="K122">
        <v>1</v>
      </c>
      <c r="L122" t="s">
        <v>22</v>
      </c>
      <c r="M122">
        <f>Table1[[#This Row],[ApplicantIncome]]+Table1[[#This Row],[CoapplicantIncome]]</f>
        <v>3125</v>
      </c>
      <c r="N122">
        <f>Table1[[#This Row],[LoanAmount]] /Table1[[#This Row],[Total_Income ]]</f>
        <v>4.3200000000000002E-2</v>
      </c>
      <c r="O122">
        <f>Table1[[#This Row],[LoanAmount]]/Table1[[#This Row],[Loan_Amount_Term]]</f>
        <v>0.375</v>
      </c>
      <c r="P122">
        <f>IF(Table1[[#This Row],[Total_Income ]]&gt;=AVERAGE(Table1[[#This Row],[Total_Income ]]),1,0)</f>
        <v>1</v>
      </c>
      <c r="Q122">
        <f>IF(Table1[[#This Row],[LoanAmount]]&gt;=AVERAGE(Table1[[#This Row],[LoanAmount]]),1,0)</f>
        <v>1</v>
      </c>
    </row>
    <row r="123" spans="1:17">
      <c r="A123" t="s">
        <v>148</v>
      </c>
      <c r="B123" t="s">
        <v>30</v>
      </c>
      <c r="C123" t="s">
        <v>19</v>
      </c>
      <c r="D123" s="1">
        <v>0</v>
      </c>
      <c r="E123" t="s">
        <v>20</v>
      </c>
      <c r="F123" t="s">
        <v>21</v>
      </c>
      <c r="G123">
        <v>2333</v>
      </c>
      <c r="H123">
        <v>3803</v>
      </c>
      <c r="I123">
        <v>187</v>
      </c>
      <c r="J123">
        <v>360</v>
      </c>
      <c r="K123">
        <v>1</v>
      </c>
      <c r="L123" t="s">
        <v>33</v>
      </c>
      <c r="M123">
        <f>Table1[[#This Row],[ApplicantIncome]]+Table1[[#This Row],[CoapplicantIncome]]</f>
        <v>6136</v>
      </c>
      <c r="N123">
        <f>Table1[[#This Row],[LoanAmount]] /Table1[[#This Row],[Total_Income ]]</f>
        <v>3.0475880052151239E-2</v>
      </c>
      <c r="O123">
        <f>Table1[[#This Row],[LoanAmount]]/Table1[[#This Row],[Loan_Amount_Term]]</f>
        <v>0.51944444444444449</v>
      </c>
      <c r="P123">
        <f>IF(Table1[[#This Row],[Total_Income ]]&gt;=AVERAGE(Table1[[#This Row],[Total_Income ]]),1,0)</f>
        <v>1</v>
      </c>
      <c r="Q123">
        <f>IF(Table1[[#This Row],[LoanAmount]]&gt;=AVERAGE(Table1[[#This Row],[LoanAmount]]),1,0)</f>
        <v>1</v>
      </c>
    </row>
    <row r="124" spans="1:17">
      <c r="A124" t="s">
        <v>149</v>
      </c>
      <c r="B124" t="s">
        <v>18</v>
      </c>
      <c r="C124" t="s">
        <v>19</v>
      </c>
      <c r="D124" s="1">
        <v>0</v>
      </c>
      <c r="E124" t="s">
        <v>20</v>
      </c>
      <c r="F124" t="s">
        <v>21</v>
      </c>
      <c r="G124">
        <v>3350</v>
      </c>
      <c r="H124">
        <v>1560</v>
      </c>
      <c r="I124">
        <v>300</v>
      </c>
      <c r="J124">
        <v>360</v>
      </c>
      <c r="K124">
        <v>1</v>
      </c>
      <c r="L124" t="s">
        <v>22</v>
      </c>
      <c r="M124">
        <f>Table1[[#This Row],[ApplicantIncome]]+Table1[[#This Row],[CoapplicantIncome]]</f>
        <v>4910</v>
      </c>
      <c r="N124">
        <f>Table1[[#This Row],[LoanAmount]] /Table1[[#This Row],[Total_Income ]]</f>
        <v>6.1099796334012219E-2</v>
      </c>
      <c r="O124">
        <f>Table1[[#This Row],[LoanAmount]]/Table1[[#This Row],[Loan_Amount_Term]]</f>
        <v>0.83333333333333337</v>
      </c>
      <c r="P124">
        <f>IF(Table1[[#This Row],[Total_Income ]]&gt;=AVERAGE(Table1[[#This Row],[Total_Income ]]),1,0)</f>
        <v>1</v>
      </c>
      <c r="Q124">
        <f>IF(Table1[[#This Row],[LoanAmount]]&gt;=AVERAGE(Table1[[#This Row],[LoanAmount]]),1,0)</f>
        <v>1</v>
      </c>
    </row>
    <row r="125" spans="1:17">
      <c r="A125" t="s">
        <v>150</v>
      </c>
      <c r="B125" t="s">
        <v>18</v>
      </c>
      <c r="C125" t="s">
        <v>21</v>
      </c>
      <c r="D125" s="1">
        <v>0</v>
      </c>
      <c r="E125" t="s">
        <v>20</v>
      </c>
      <c r="F125" t="s">
        <v>21</v>
      </c>
      <c r="G125">
        <v>2500</v>
      </c>
      <c r="H125">
        <v>6414</v>
      </c>
      <c r="I125">
        <v>120</v>
      </c>
      <c r="J125">
        <v>360</v>
      </c>
      <c r="K125">
        <v>1</v>
      </c>
      <c r="L125" t="s">
        <v>33</v>
      </c>
      <c r="M125">
        <f>Table1[[#This Row],[ApplicantIncome]]+Table1[[#This Row],[CoapplicantIncome]]</f>
        <v>8914</v>
      </c>
      <c r="N125">
        <f>Table1[[#This Row],[LoanAmount]] /Table1[[#This Row],[Total_Income ]]</f>
        <v>1.3461969934933812E-2</v>
      </c>
      <c r="O125">
        <f>Table1[[#This Row],[LoanAmount]]/Table1[[#This Row],[Loan_Amount_Term]]</f>
        <v>0.33333333333333331</v>
      </c>
      <c r="P125">
        <f>IF(Table1[[#This Row],[Total_Income ]]&gt;=AVERAGE(Table1[[#This Row],[Total_Income ]]),1,0)</f>
        <v>1</v>
      </c>
      <c r="Q125">
        <f>IF(Table1[[#This Row],[LoanAmount]]&gt;=AVERAGE(Table1[[#This Row],[LoanAmount]]),1,0)</f>
        <v>1</v>
      </c>
    </row>
    <row r="126" spans="1:17">
      <c r="A126" t="s">
        <v>151</v>
      </c>
      <c r="B126" t="s">
        <v>18</v>
      </c>
      <c r="C126" t="s">
        <v>21</v>
      </c>
      <c r="D126" s="1">
        <v>2</v>
      </c>
      <c r="E126" t="s">
        <v>20</v>
      </c>
      <c r="F126" t="s">
        <v>21</v>
      </c>
      <c r="G126">
        <v>12500</v>
      </c>
      <c r="H126">
        <v>0</v>
      </c>
      <c r="I126">
        <v>71</v>
      </c>
      <c r="J126">
        <v>360</v>
      </c>
      <c r="K126">
        <v>1</v>
      </c>
      <c r="L126" t="s">
        <v>22</v>
      </c>
      <c r="M126">
        <f>Table1[[#This Row],[ApplicantIncome]]+Table1[[#This Row],[CoapplicantIncome]]</f>
        <v>12500</v>
      </c>
      <c r="N126">
        <f>Table1[[#This Row],[LoanAmount]] /Table1[[#This Row],[Total_Income ]]</f>
        <v>5.6800000000000002E-3</v>
      </c>
      <c r="O126">
        <f>Table1[[#This Row],[LoanAmount]]/Table1[[#This Row],[Loan_Amount_Term]]</f>
        <v>0.19722222222222222</v>
      </c>
      <c r="P126">
        <f>IF(Table1[[#This Row],[Total_Income ]]&gt;=AVERAGE(Table1[[#This Row],[Total_Income ]]),1,0)</f>
        <v>1</v>
      </c>
      <c r="Q126">
        <f>IF(Table1[[#This Row],[LoanAmount]]&gt;=AVERAGE(Table1[[#This Row],[LoanAmount]]),1,0)</f>
        <v>1</v>
      </c>
    </row>
    <row r="127" spans="1:17">
      <c r="A127" t="s">
        <v>152</v>
      </c>
      <c r="B127" t="s">
        <v>18</v>
      </c>
      <c r="C127" t="s">
        <v>21</v>
      </c>
      <c r="D127" s="1">
        <v>0</v>
      </c>
      <c r="E127" t="s">
        <v>20</v>
      </c>
      <c r="F127" t="s">
        <v>21</v>
      </c>
      <c r="G127">
        <v>4667</v>
      </c>
      <c r="H127">
        <v>0</v>
      </c>
      <c r="I127">
        <v>225</v>
      </c>
      <c r="J127">
        <v>180</v>
      </c>
      <c r="K127">
        <v>1</v>
      </c>
      <c r="L127" t="s">
        <v>31</v>
      </c>
      <c r="M127">
        <f>Table1[[#This Row],[ApplicantIncome]]+Table1[[#This Row],[CoapplicantIncome]]</f>
        <v>4667</v>
      </c>
      <c r="N127">
        <f>Table1[[#This Row],[LoanAmount]] /Table1[[#This Row],[Total_Income ]]</f>
        <v>4.8210842082708379E-2</v>
      </c>
      <c r="O127">
        <f>Table1[[#This Row],[LoanAmount]]/Table1[[#This Row],[Loan_Amount_Term]]</f>
        <v>1.25</v>
      </c>
      <c r="P127">
        <f>IF(Table1[[#This Row],[Total_Income ]]&gt;=AVERAGE(Table1[[#This Row],[Total_Income ]]),1,0)</f>
        <v>1</v>
      </c>
      <c r="Q127">
        <f>IF(Table1[[#This Row],[LoanAmount]]&gt;=AVERAGE(Table1[[#This Row],[LoanAmount]]),1,0)</f>
        <v>1</v>
      </c>
    </row>
    <row r="128" spans="1:17">
      <c r="A128" t="s">
        <v>153</v>
      </c>
      <c r="B128" t="s">
        <v>18</v>
      </c>
      <c r="C128" t="s">
        <v>21</v>
      </c>
      <c r="D128" s="1">
        <v>1</v>
      </c>
      <c r="E128" t="s">
        <v>20</v>
      </c>
      <c r="F128" t="s">
        <v>19</v>
      </c>
      <c r="G128">
        <v>6500</v>
      </c>
      <c r="H128">
        <v>0</v>
      </c>
      <c r="I128">
        <v>70</v>
      </c>
      <c r="J128">
        <v>360</v>
      </c>
      <c r="K128">
        <v>1</v>
      </c>
      <c r="L128" t="s">
        <v>22</v>
      </c>
      <c r="M128">
        <f>Table1[[#This Row],[ApplicantIncome]]+Table1[[#This Row],[CoapplicantIncome]]</f>
        <v>6500</v>
      </c>
      <c r="N128">
        <f>Table1[[#This Row],[LoanAmount]] /Table1[[#This Row],[Total_Income ]]</f>
        <v>1.0769230769230769E-2</v>
      </c>
      <c r="O128">
        <f>Table1[[#This Row],[LoanAmount]]/Table1[[#This Row],[Loan_Amount_Term]]</f>
        <v>0.19444444444444445</v>
      </c>
      <c r="P128">
        <f>IF(Table1[[#This Row],[Total_Income ]]&gt;=AVERAGE(Table1[[#This Row],[Total_Income ]]),1,0)</f>
        <v>1</v>
      </c>
      <c r="Q128">
        <f>IF(Table1[[#This Row],[LoanAmount]]&gt;=AVERAGE(Table1[[#This Row],[LoanAmount]]),1,0)</f>
        <v>1</v>
      </c>
    </row>
    <row r="129" spans="1:17">
      <c r="A129" t="s">
        <v>154</v>
      </c>
      <c r="B129" t="s">
        <v>18</v>
      </c>
      <c r="C129" t="s">
        <v>19</v>
      </c>
      <c r="D129" s="1">
        <v>0</v>
      </c>
      <c r="E129" t="s">
        <v>20</v>
      </c>
      <c r="F129" t="s">
        <v>21</v>
      </c>
      <c r="G129">
        <v>7500</v>
      </c>
      <c r="H129">
        <v>0</v>
      </c>
      <c r="I129">
        <v>70</v>
      </c>
      <c r="J129">
        <v>360</v>
      </c>
      <c r="K129">
        <v>1</v>
      </c>
      <c r="L129" t="s">
        <v>22</v>
      </c>
      <c r="M129">
        <f>Table1[[#This Row],[ApplicantIncome]]+Table1[[#This Row],[CoapplicantIncome]]</f>
        <v>7500</v>
      </c>
      <c r="N129">
        <f>Table1[[#This Row],[LoanAmount]] /Table1[[#This Row],[Total_Income ]]</f>
        <v>9.3333333333333341E-3</v>
      </c>
      <c r="O129">
        <f>Table1[[#This Row],[LoanAmount]]/Table1[[#This Row],[Loan_Amount_Term]]</f>
        <v>0.19444444444444445</v>
      </c>
      <c r="P129">
        <f>IF(Table1[[#This Row],[Total_Income ]]&gt;=AVERAGE(Table1[[#This Row],[Total_Income ]]),1,0)</f>
        <v>1</v>
      </c>
      <c r="Q129">
        <f>IF(Table1[[#This Row],[LoanAmount]]&gt;=AVERAGE(Table1[[#This Row],[LoanAmount]]),1,0)</f>
        <v>1</v>
      </c>
    </row>
    <row r="130" spans="1:17">
      <c r="A130" t="s">
        <v>155</v>
      </c>
      <c r="B130" t="s">
        <v>18</v>
      </c>
      <c r="C130" t="s">
        <v>21</v>
      </c>
      <c r="D130" s="1">
        <v>0</v>
      </c>
      <c r="E130" t="s">
        <v>20</v>
      </c>
      <c r="F130" t="s">
        <v>21</v>
      </c>
      <c r="G130">
        <v>3073</v>
      </c>
      <c r="H130">
        <v>0</v>
      </c>
      <c r="I130">
        <v>124</v>
      </c>
      <c r="J130">
        <v>360</v>
      </c>
      <c r="K130">
        <v>1</v>
      </c>
      <c r="L130" t="s">
        <v>22</v>
      </c>
      <c r="M130">
        <f>Table1[[#This Row],[ApplicantIncome]]+Table1[[#This Row],[CoapplicantIncome]]</f>
        <v>3073</v>
      </c>
      <c r="N130">
        <f>Table1[[#This Row],[LoanAmount]] /Table1[[#This Row],[Total_Income ]]</f>
        <v>4.0351448096322809E-2</v>
      </c>
      <c r="O130">
        <f>Table1[[#This Row],[LoanAmount]]/Table1[[#This Row],[Loan_Amount_Term]]</f>
        <v>0.34444444444444444</v>
      </c>
      <c r="P130">
        <f>IF(Table1[[#This Row],[Total_Income ]]&gt;=AVERAGE(Table1[[#This Row],[Total_Income ]]),1,0)</f>
        <v>1</v>
      </c>
      <c r="Q130">
        <f>IF(Table1[[#This Row],[LoanAmount]]&gt;=AVERAGE(Table1[[#This Row],[LoanAmount]]),1,0)</f>
        <v>1</v>
      </c>
    </row>
    <row r="131" spans="1:17">
      <c r="A131" t="s">
        <v>156</v>
      </c>
      <c r="B131" t="s">
        <v>18</v>
      </c>
      <c r="C131" t="s">
        <v>19</v>
      </c>
      <c r="D131" s="1">
        <v>1</v>
      </c>
      <c r="E131" t="s">
        <v>27</v>
      </c>
      <c r="F131" t="s">
        <v>21</v>
      </c>
      <c r="G131">
        <v>3321</v>
      </c>
      <c r="H131">
        <v>2088</v>
      </c>
      <c r="I131">
        <v>132</v>
      </c>
      <c r="J131">
        <v>360</v>
      </c>
      <c r="K131">
        <v>1</v>
      </c>
      <c r="L131" t="s">
        <v>31</v>
      </c>
      <c r="M131">
        <f>Table1[[#This Row],[ApplicantIncome]]+Table1[[#This Row],[CoapplicantIncome]]</f>
        <v>5409</v>
      </c>
      <c r="N131">
        <f>Table1[[#This Row],[LoanAmount]] /Table1[[#This Row],[Total_Income ]]</f>
        <v>2.4403771491957847E-2</v>
      </c>
      <c r="O131">
        <f>Table1[[#This Row],[LoanAmount]]/Table1[[#This Row],[Loan_Amount_Term]]</f>
        <v>0.36666666666666664</v>
      </c>
      <c r="P131">
        <f>IF(Table1[[#This Row],[Total_Income ]]&gt;=AVERAGE(Table1[[#This Row],[Total_Income ]]),1,0)</f>
        <v>1</v>
      </c>
      <c r="Q131">
        <f>IF(Table1[[#This Row],[LoanAmount]]&gt;=AVERAGE(Table1[[#This Row],[LoanAmount]]),1,0)</f>
        <v>1</v>
      </c>
    </row>
    <row r="132" spans="1:17">
      <c r="A132" t="s">
        <v>157</v>
      </c>
      <c r="B132" t="s">
        <v>30</v>
      </c>
      <c r="C132" t="s">
        <v>19</v>
      </c>
      <c r="D132" s="1">
        <v>1</v>
      </c>
      <c r="E132" t="s">
        <v>20</v>
      </c>
      <c r="F132" t="s">
        <v>21</v>
      </c>
      <c r="G132">
        <v>3333</v>
      </c>
      <c r="H132">
        <v>1270</v>
      </c>
      <c r="I132">
        <v>105</v>
      </c>
      <c r="J132">
        <v>84</v>
      </c>
      <c r="K132">
        <v>0</v>
      </c>
      <c r="L132" t="s">
        <v>22</v>
      </c>
      <c r="M132">
        <f>Table1[[#This Row],[ApplicantIncome]]+Table1[[#This Row],[CoapplicantIncome]]</f>
        <v>4603</v>
      </c>
      <c r="N132">
        <f>Table1[[#This Row],[LoanAmount]] /Table1[[#This Row],[Total_Income ]]</f>
        <v>2.2811210080382359E-2</v>
      </c>
      <c r="O132">
        <f>Table1[[#This Row],[LoanAmount]]/Table1[[#This Row],[Loan_Amount_Term]]</f>
        <v>1.25</v>
      </c>
      <c r="P132">
        <f>IF(Table1[[#This Row],[Total_Income ]]&gt;=AVERAGE(Table1[[#This Row],[Total_Income ]]),1,0)</f>
        <v>1</v>
      </c>
      <c r="Q132">
        <f>IF(Table1[[#This Row],[LoanAmount]]&gt;=AVERAGE(Table1[[#This Row],[LoanAmount]]),1,0)</f>
        <v>1</v>
      </c>
    </row>
    <row r="133" spans="1:17">
      <c r="A133" t="s">
        <v>158</v>
      </c>
      <c r="B133" t="s">
        <v>18</v>
      </c>
      <c r="C133" t="s">
        <v>21</v>
      </c>
      <c r="D133" s="1">
        <v>0</v>
      </c>
      <c r="E133" t="s">
        <v>20</v>
      </c>
      <c r="F133" t="s">
        <v>21</v>
      </c>
      <c r="G133">
        <v>3391</v>
      </c>
      <c r="H133">
        <v>0</v>
      </c>
      <c r="I133">
        <v>90</v>
      </c>
      <c r="J133">
        <v>360</v>
      </c>
      <c r="K133">
        <v>1</v>
      </c>
      <c r="L133" t="s">
        <v>33</v>
      </c>
      <c r="M133">
        <f>Table1[[#This Row],[ApplicantIncome]]+Table1[[#This Row],[CoapplicantIncome]]</f>
        <v>3391</v>
      </c>
      <c r="N133">
        <f>Table1[[#This Row],[LoanAmount]] /Table1[[#This Row],[Total_Income ]]</f>
        <v>2.6540843409023886E-2</v>
      </c>
      <c r="O133">
        <f>Table1[[#This Row],[LoanAmount]]/Table1[[#This Row],[Loan_Amount_Term]]</f>
        <v>0.25</v>
      </c>
      <c r="P133">
        <f>IF(Table1[[#This Row],[Total_Income ]]&gt;=AVERAGE(Table1[[#This Row],[Total_Income ]]),1,0)</f>
        <v>1</v>
      </c>
      <c r="Q133">
        <f>IF(Table1[[#This Row],[LoanAmount]]&gt;=AVERAGE(Table1[[#This Row],[LoanAmount]]),1,0)</f>
        <v>1</v>
      </c>
    </row>
    <row r="134" spans="1:17">
      <c r="A134" t="s">
        <v>159</v>
      </c>
      <c r="B134" t="s">
        <v>18</v>
      </c>
      <c r="C134" t="s">
        <v>19</v>
      </c>
      <c r="D134" s="1">
        <v>0</v>
      </c>
      <c r="E134" t="s">
        <v>20</v>
      </c>
      <c r="F134" t="s">
        <v>21</v>
      </c>
      <c r="G134">
        <v>3343</v>
      </c>
      <c r="H134">
        <v>1517</v>
      </c>
      <c r="I134">
        <v>83</v>
      </c>
      <c r="J134">
        <v>360</v>
      </c>
      <c r="K134">
        <v>0</v>
      </c>
      <c r="L134" t="s">
        <v>33</v>
      </c>
      <c r="M134">
        <f>Table1[[#This Row],[ApplicantIncome]]+Table1[[#This Row],[CoapplicantIncome]]</f>
        <v>4860</v>
      </c>
      <c r="N134">
        <f>Table1[[#This Row],[LoanAmount]] /Table1[[#This Row],[Total_Income ]]</f>
        <v>1.7078189300411523E-2</v>
      </c>
      <c r="O134">
        <f>Table1[[#This Row],[LoanAmount]]/Table1[[#This Row],[Loan_Amount_Term]]</f>
        <v>0.23055555555555557</v>
      </c>
      <c r="P134">
        <f>IF(Table1[[#This Row],[Total_Income ]]&gt;=AVERAGE(Table1[[#This Row],[Total_Income ]]),1,0)</f>
        <v>1</v>
      </c>
      <c r="Q134">
        <f>IF(Table1[[#This Row],[LoanAmount]]&gt;=AVERAGE(Table1[[#This Row],[LoanAmount]]),1,0)</f>
        <v>1</v>
      </c>
    </row>
    <row r="135" spans="1:17">
      <c r="A135" t="s">
        <v>160</v>
      </c>
      <c r="B135" t="s">
        <v>18</v>
      </c>
      <c r="C135" t="s">
        <v>21</v>
      </c>
      <c r="D135" s="1">
        <v>2</v>
      </c>
      <c r="E135" t="s">
        <v>20</v>
      </c>
      <c r="F135" t="s">
        <v>21</v>
      </c>
      <c r="G135">
        <v>3620</v>
      </c>
      <c r="H135">
        <v>0</v>
      </c>
      <c r="I135">
        <v>125</v>
      </c>
      <c r="J135">
        <v>360</v>
      </c>
      <c r="K135">
        <v>1</v>
      </c>
      <c r="L135" t="s">
        <v>22</v>
      </c>
      <c r="M135">
        <f>Table1[[#This Row],[ApplicantIncome]]+Table1[[#This Row],[CoapplicantIncome]]</f>
        <v>3620</v>
      </c>
      <c r="N135">
        <f>Table1[[#This Row],[LoanAmount]] /Table1[[#This Row],[Total_Income ]]</f>
        <v>3.4530386740331494E-2</v>
      </c>
      <c r="O135">
        <f>Table1[[#This Row],[LoanAmount]]/Table1[[#This Row],[Loan_Amount_Term]]</f>
        <v>0.34722222222222221</v>
      </c>
      <c r="P135">
        <f>IF(Table1[[#This Row],[Total_Income ]]&gt;=AVERAGE(Table1[[#This Row],[Total_Income ]]),1,0)</f>
        <v>1</v>
      </c>
      <c r="Q135">
        <f>IF(Table1[[#This Row],[LoanAmount]]&gt;=AVERAGE(Table1[[#This Row],[LoanAmount]]),1,0)</f>
        <v>1</v>
      </c>
    </row>
    <row r="136" spans="1:17">
      <c r="A136" t="s">
        <v>161</v>
      </c>
      <c r="B136" t="s">
        <v>18</v>
      </c>
      <c r="C136" t="s">
        <v>21</v>
      </c>
      <c r="D136" s="1">
        <v>1</v>
      </c>
      <c r="E136" t="s">
        <v>20</v>
      </c>
      <c r="F136" t="s">
        <v>21</v>
      </c>
      <c r="G136">
        <v>4000</v>
      </c>
      <c r="H136">
        <v>0</v>
      </c>
      <c r="I136">
        <v>147</v>
      </c>
      <c r="J136">
        <v>360</v>
      </c>
      <c r="K136">
        <v>1</v>
      </c>
      <c r="L136" t="s">
        <v>22</v>
      </c>
      <c r="M136">
        <f>Table1[[#This Row],[ApplicantIncome]]+Table1[[#This Row],[CoapplicantIncome]]</f>
        <v>4000</v>
      </c>
      <c r="N136">
        <f>Table1[[#This Row],[LoanAmount]] /Table1[[#This Row],[Total_Income ]]</f>
        <v>3.6749999999999998E-2</v>
      </c>
      <c r="O136">
        <f>Table1[[#This Row],[LoanAmount]]/Table1[[#This Row],[Loan_Amount_Term]]</f>
        <v>0.40833333333333333</v>
      </c>
      <c r="P136">
        <f>IF(Table1[[#This Row],[Total_Income ]]&gt;=AVERAGE(Table1[[#This Row],[Total_Income ]]),1,0)</f>
        <v>1</v>
      </c>
      <c r="Q136">
        <f>IF(Table1[[#This Row],[LoanAmount]]&gt;=AVERAGE(Table1[[#This Row],[LoanAmount]]),1,0)</f>
        <v>1</v>
      </c>
    </row>
    <row r="137" spans="1:17">
      <c r="A137" t="s">
        <v>162</v>
      </c>
      <c r="B137" t="s">
        <v>30</v>
      </c>
      <c r="C137" t="s">
        <v>19</v>
      </c>
      <c r="D137" s="1" t="s">
        <v>39</v>
      </c>
      <c r="E137" t="s">
        <v>20</v>
      </c>
      <c r="F137" t="s">
        <v>21</v>
      </c>
      <c r="G137">
        <v>4258</v>
      </c>
      <c r="H137">
        <v>0</v>
      </c>
      <c r="I137">
        <v>120</v>
      </c>
      <c r="J137">
        <v>360</v>
      </c>
      <c r="K137">
        <v>1</v>
      </c>
      <c r="L137" t="s">
        <v>22</v>
      </c>
      <c r="M137">
        <f>Table1[[#This Row],[ApplicantIncome]]+Table1[[#This Row],[CoapplicantIncome]]</f>
        <v>4258</v>
      </c>
      <c r="N137">
        <f>Table1[[#This Row],[LoanAmount]] /Table1[[#This Row],[Total_Income ]]</f>
        <v>2.8182245185533115E-2</v>
      </c>
      <c r="O137">
        <f>Table1[[#This Row],[LoanAmount]]/Table1[[#This Row],[Loan_Amount_Term]]</f>
        <v>0.33333333333333331</v>
      </c>
      <c r="P137">
        <f>IF(Table1[[#This Row],[Total_Income ]]&gt;=AVERAGE(Table1[[#This Row],[Total_Income ]]),1,0)</f>
        <v>1</v>
      </c>
      <c r="Q137">
        <f>IF(Table1[[#This Row],[LoanAmount]]&gt;=AVERAGE(Table1[[#This Row],[LoanAmount]]),1,0)</f>
        <v>1</v>
      </c>
    </row>
    <row r="138" spans="1:17">
      <c r="A138" t="s">
        <v>163</v>
      </c>
      <c r="B138" t="s">
        <v>18</v>
      </c>
      <c r="C138" t="s">
        <v>19</v>
      </c>
      <c r="D138" s="1">
        <v>0</v>
      </c>
      <c r="E138" t="s">
        <v>20</v>
      </c>
      <c r="F138" t="s">
        <v>19</v>
      </c>
      <c r="G138">
        <v>4500</v>
      </c>
      <c r="H138">
        <v>0</v>
      </c>
      <c r="I138">
        <v>110</v>
      </c>
      <c r="J138">
        <v>360</v>
      </c>
      <c r="K138">
        <v>0</v>
      </c>
      <c r="L138" t="s">
        <v>33</v>
      </c>
      <c r="M138">
        <f>Table1[[#This Row],[ApplicantIncome]]+Table1[[#This Row],[CoapplicantIncome]]</f>
        <v>4500</v>
      </c>
      <c r="N138">
        <f>Table1[[#This Row],[LoanAmount]] /Table1[[#This Row],[Total_Income ]]</f>
        <v>2.4444444444444446E-2</v>
      </c>
      <c r="O138">
        <f>Table1[[#This Row],[LoanAmount]]/Table1[[#This Row],[Loan_Amount_Term]]</f>
        <v>0.30555555555555558</v>
      </c>
      <c r="P138">
        <f>IF(Table1[[#This Row],[Total_Income ]]&gt;=AVERAGE(Table1[[#This Row],[Total_Income ]]),1,0)</f>
        <v>1</v>
      </c>
      <c r="Q138">
        <f>IF(Table1[[#This Row],[LoanAmount]]&gt;=AVERAGE(Table1[[#This Row],[LoanAmount]]),1,0)</f>
        <v>1</v>
      </c>
    </row>
    <row r="139" spans="1:17">
      <c r="A139" t="s">
        <v>164</v>
      </c>
      <c r="B139" t="s">
        <v>18</v>
      </c>
      <c r="C139" t="s">
        <v>19</v>
      </c>
      <c r="D139" s="1" t="s">
        <v>39</v>
      </c>
      <c r="E139" t="s">
        <v>20</v>
      </c>
      <c r="F139" t="s">
        <v>19</v>
      </c>
      <c r="G139">
        <v>2014</v>
      </c>
      <c r="H139">
        <v>2925</v>
      </c>
      <c r="I139">
        <v>103</v>
      </c>
      <c r="J139">
        <v>240</v>
      </c>
      <c r="K139">
        <v>1</v>
      </c>
      <c r="L139" t="s">
        <v>33</v>
      </c>
      <c r="M139">
        <f>Table1[[#This Row],[ApplicantIncome]]+Table1[[#This Row],[CoapplicantIncome]]</f>
        <v>4939</v>
      </c>
      <c r="N139">
        <f>Table1[[#This Row],[LoanAmount]] /Table1[[#This Row],[Total_Income ]]</f>
        <v>2.0854423972464061E-2</v>
      </c>
      <c r="O139">
        <f>Table1[[#This Row],[LoanAmount]]/Table1[[#This Row],[Loan_Amount_Term]]</f>
        <v>0.42916666666666664</v>
      </c>
      <c r="P139">
        <f>IF(Table1[[#This Row],[Total_Income ]]&gt;=AVERAGE(Table1[[#This Row],[Total_Income ]]),1,0)</f>
        <v>1</v>
      </c>
      <c r="Q139">
        <f>IF(Table1[[#This Row],[LoanAmount]]&gt;=AVERAGE(Table1[[#This Row],[LoanAmount]]),1,0)</f>
        <v>1</v>
      </c>
    </row>
    <row r="140" spans="1:17">
      <c r="A140" t="s">
        <v>165</v>
      </c>
      <c r="B140" t="s">
        <v>18</v>
      </c>
      <c r="C140" t="s">
        <v>21</v>
      </c>
      <c r="D140" s="1" t="s">
        <v>39</v>
      </c>
      <c r="E140" t="s">
        <v>20</v>
      </c>
      <c r="F140" t="s">
        <v>21</v>
      </c>
      <c r="G140">
        <v>3333</v>
      </c>
      <c r="H140">
        <v>1250</v>
      </c>
      <c r="I140">
        <v>150</v>
      </c>
      <c r="J140">
        <v>360</v>
      </c>
      <c r="K140">
        <v>1</v>
      </c>
      <c r="L140" t="s">
        <v>31</v>
      </c>
      <c r="M140">
        <f>Table1[[#This Row],[ApplicantIncome]]+Table1[[#This Row],[CoapplicantIncome]]</f>
        <v>4583</v>
      </c>
      <c r="N140">
        <f>Table1[[#This Row],[LoanAmount]] /Table1[[#This Row],[Total_Income ]]</f>
        <v>3.2729653065677503E-2</v>
      </c>
      <c r="O140">
        <f>Table1[[#This Row],[LoanAmount]]/Table1[[#This Row],[Loan_Amount_Term]]</f>
        <v>0.41666666666666669</v>
      </c>
      <c r="P140">
        <f>IF(Table1[[#This Row],[Total_Income ]]&gt;=AVERAGE(Table1[[#This Row],[Total_Income ]]),1,0)</f>
        <v>1</v>
      </c>
      <c r="Q140">
        <f>IF(Table1[[#This Row],[LoanAmount]]&gt;=AVERAGE(Table1[[#This Row],[LoanAmount]]),1,0)</f>
        <v>1</v>
      </c>
    </row>
    <row r="141" spans="1:17">
      <c r="A141" t="s">
        <v>166</v>
      </c>
      <c r="B141" t="s">
        <v>18</v>
      </c>
      <c r="C141" t="s">
        <v>21</v>
      </c>
      <c r="D141" s="1">
        <v>0</v>
      </c>
      <c r="E141" t="s">
        <v>20</v>
      </c>
      <c r="F141" t="s">
        <v>21</v>
      </c>
      <c r="G141">
        <v>4083</v>
      </c>
      <c r="H141">
        <v>0</v>
      </c>
      <c r="I141">
        <v>100</v>
      </c>
      <c r="J141">
        <v>360</v>
      </c>
      <c r="K141">
        <v>1</v>
      </c>
      <c r="L141" t="s">
        <v>31</v>
      </c>
      <c r="M141">
        <f>Table1[[#This Row],[ApplicantIncome]]+Table1[[#This Row],[CoapplicantIncome]]</f>
        <v>4083</v>
      </c>
      <c r="N141">
        <f>Table1[[#This Row],[LoanAmount]] /Table1[[#This Row],[Total_Income ]]</f>
        <v>2.449179524859172E-2</v>
      </c>
      <c r="O141">
        <f>Table1[[#This Row],[LoanAmount]]/Table1[[#This Row],[Loan_Amount_Term]]</f>
        <v>0.27777777777777779</v>
      </c>
      <c r="P141">
        <f>IF(Table1[[#This Row],[Total_Income ]]&gt;=AVERAGE(Table1[[#This Row],[Total_Income ]]),1,0)</f>
        <v>1</v>
      </c>
      <c r="Q141">
        <f>IF(Table1[[#This Row],[LoanAmount]]&gt;=AVERAGE(Table1[[#This Row],[LoanAmount]]),1,0)</f>
        <v>1</v>
      </c>
    </row>
    <row r="142" spans="1:17">
      <c r="A142" t="s">
        <v>167</v>
      </c>
      <c r="B142" t="s">
        <v>18</v>
      </c>
      <c r="C142" t="s">
        <v>21</v>
      </c>
      <c r="D142" s="1">
        <v>2</v>
      </c>
      <c r="E142" t="s">
        <v>20</v>
      </c>
      <c r="F142" t="s">
        <v>19</v>
      </c>
      <c r="G142">
        <v>4727</v>
      </c>
      <c r="H142">
        <v>0</v>
      </c>
      <c r="I142">
        <v>139</v>
      </c>
      <c r="J142">
        <v>12</v>
      </c>
      <c r="K142">
        <v>1</v>
      </c>
      <c r="L142" t="s">
        <v>33</v>
      </c>
      <c r="M142">
        <f>Table1[[#This Row],[ApplicantIncome]]+Table1[[#This Row],[CoapplicantIncome]]</f>
        <v>4727</v>
      </c>
      <c r="N142">
        <f>Table1[[#This Row],[LoanAmount]] /Table1[[#This Row],[Total_Income ]]</f>
        <v>2.9405542627459275E-2</v>
      </c>
      <c r="O142">
        <f>Table1[[#This Row],[LoanAmount]]/Table1[[#This Row],[Loan_Amount_Term]]</f>
        <v>11.583333333333334</v>
      </c>
      <c r="P142">
        <f>IF(Table1[[#This Row],[Total_Income ]]&gt;=AVERAGE(Table1[[#This Row],[Total_Income ]]),1,0)</f>
        <v>1</v>
      </c>
      <c r="Q142">
        <f>IF(Table1[[#This Row],[LoanAmount]]&gt;=AVERAGE(Table1[[#This Row],[LoanAmount]]),1,0)</f>
        <v>1</v>
      </c>
    </row>
    <row r="143" spans="1:17">
      <c r="A143" t="s">
        <v>168</v>
      </c>
      <c r="B143" t="s">
        <v>30</v>
      </c>
      <c r="C143" t="s">
        <v>19</v>
      </c>
      <c r="D143" s="1">
        <v>0</v>
      </c>
      <c r="E143" t="s">
        <v>20</v>
      </c>
      <c r="F143" t="s">
        <v>21</v>
      </c>
      <c r="G143">
        <v>3089</v>
      </c>
      <c r="H143">
        <v>2999</v>
      </c>
      <c r="I143">
        <v>550</v>
      </c>
      <c r="J143">
        <v>300</v>
      </c>
      <c r="K143">
        <v>1</v>
      </c>
      <c r="L143" t="s">
        <v>33</v>
      </c>
      <c r="M143">
        <f>Table1[[#This Row],[ApplicantIncome]]+Table1[[#This Row],[CoapplicantIncome]]</f>
        <v>6088</v>
      </c>
      <c r="N143">
        <f>Table1[[#This Row],[LoanAmount]] /Table1[[#This Row],[Total_Income ]]</f>
        <v>9.0341655716162941E-2</v>
      </c>
      <c r="O143">
        <f>Table1[[#This Row],[LoanAmount]]/Table1[[#This Row],[Loan_Amount_Term]]</f>
        <v>1.8333333333333333</v>
      </c>
      <c r="P143">
        <f>IF(Table1[[#This Row],[Total_Income ]]&gt;=AVERAGE(Table1[[#This Row],[Total_Income ]]),1,0)</f>
        <v>1</v>
      </c>
      <c r="Q143">
        <f>IF(Table1[[#This Row],[LoanAmount]]&gt;=AVERAGE(Table1[[#This Row],[LoanAmount]]),1,0)</f>
        <v>1</v>
      </c>
    </row>
    <row r="144" spans="1:17">
      <c r="A144" t="s">
        <v>169</v>
      </c>
      <c r="B144" t="s">
        <v>18</v>
      </c>
      <c r="C144" t="s">
        <v>19</v>
      </c>
      <c r="D144" s="1">
        <v>0</v>
      </c>
      <c r="E144" t="s">
        <v>27</v>
      </c>
      <c r="F144" t="s">
        <v>21</v>
      </c>
      <c r="G144">
        <v>6794</v>
      </c>
      <c r="H144">
        <v>528</v>
      </c>
      <c r="I144">
        <v>260</v>
      </c>
      <c r="J144">
        <v>360</v>
      </c>
      <c r="K144">
        <v>0</v>
      </c>
      <c r="L144" t="s">
        <v>22</v>
      </c>
      <c r="M144">
        <f>Table1[[#This Row],[ApplicantIncome]]+Table1[[#This Row],[CoapplicantIncome]]</f>
        <v>7322</v>
      </c>
      <c r="N144">
        <f>Table1[[#This Row],[LoanAmount]] /Table1[[#This Row],[Total_Income ]]</f>
        <v>3.5509423654739143E-2</v>
      </c>
      <c r="O144">
        <f>Table1[[#This Row],[LoanAmount]]/Table1[[#This Row],[Loan_Amount_Term]]</f>
        <v>0.72222222222222221</v>
      </c>
      <c r="P144">
        <f>IF(Table1[[#This Row],[Total_Income ]]&gt;=AVERAGE(Table1[[#This Row],[Total_Income ]]),1,0)</f>
        <v>1</v>
      </c>
      <c r="Q144">
        <f>IF(Table1[[#This Row],[LoanAmount]]&gt;=AVERAGE(Table1[[#This Row],[LoanAmount]]),1,0)</f>
        <v>1</v>
      </c>
    </row>
    <row r="145" spans="1:17">
      <c r="A145" t="s">
        <v>170</v>
      </c>
      <c r="B145" t="s">
        <v>18</v>
      </c>
      <c r="C145" t="s">
        <v>19</v>
      </c>
      <c r="D145" s="1">
        <v>0</v>
      </c>
      <c r="E145" t="s">
        <v>20</v>
      </c>
      <c r="F145" t="s">
        <v>21</v>
      </c>
      <c r="G145">
        <v>32000</v>
      </c>
      <c r="H145">
        <v>0</v>
      </c>
      <c r="I145">
        <v>150</v>
      </c>
      <c r="J145">
        <v>360</v>
      </c>
      <c r="K145">
        <v>1</v>
      </c>
      <c r="L145" t="s">
        <v>31</v>
      </c>
      <c r="M145">
        <f>Table1[[#This Row],[ApplicantIncome]]+Table1[[#This Row],[CoapplicantIncome]]</f>
        <v>32000</v>
      </c>
      <c r="N145">
        <f>Table1[[#This Row],[LoanAmount]] /Table1[[#This Row],[Total_Income ]]</f>
        <v>4.6874999999999998E-3</v>
      </c>
      <c r="O145">
        <f>Table1[[#This Row],[LoanAmount]]/Table1[[#This Row],[Loan_Amount_Term]]</f>
        <v>0.41666666666666669</v>
      </c>
      <c r="P145">
        <f>IF(Table1[[#This Row],[Total_Income ]]&gt;=AVERAGE(Table1[[#This Row],[Total_Income ]]),1,0)</f>
        <v>1</v>
      </c>
      <c r="Q145">
        <f>IF(Table1[[#This Row],[LoanAmount]]&gt;=AVERAGE(Table1[[#This Row],[LoanAmount]]),1,0)</f>
        <v>1</v>
      </c>
    </row>
    <row r="146" spans="1:17">
      <c r="A146" t="s">
        <v>171</v>
      </c>
      <c r="B146" t="s">
        <v>18</v>
      </c>
      <c r="C146" t="s">
        <v>19</v>
      </c>
      <c r="D146" s="1">
        <v>1</v>
      </c>
      <c r="E146" t="s">
        <v>20</v>
      </c>
      <c r="F146" t="s">
        <v>21</v>
      </c>
      <c r="G146">
        <v>10890</v>
      </c>
      <c r="H146">
        <v>0</v>
      </c>
      <c r="I146">
        <v>90</v>
      </c>
      <c r="J146">
        <v>360</v>
      </c>
      <c r="K146">
        <v>1</v>
      </c>
      <c r="L146" t="s">
        <v>33</v>
      </c>
      <c r="M146">
        <f>Table1[[#This Row],[ApplicantIncome]]+Table1[[#This Row],[CoapplicantIncome]]</f>
        <v>10890</v>
      </c>
      <c r="N146">
        <f>Table1[[#This Row],[LoanAmount]] /Table1[[#This Row],[Total_Income ]]</f>
        <v>8.2644628099173556E-3</v>
      </c>
      <c r="O146">
        <f>Table1[[#This Row],[LoanAmount]]/Table1[[#This Row],[Loan_Amount_Term]]</f>
        <v>0.25</v>
      </c>
      <c r="P146">
        <f>IF(Table1[[#This Row],[Total_Income ]]&gt;=AVERAGE(Table1[[#This Row],[Total_Income ]]),1,0)</f>
        <v>1</v>
      </c>
      <c r="Q146">
        <f>IF(Table1[[#This Row],[LoanAmount]]&gt;=AVERAGE(Table1[[#This Row],[LoanAmount]]),1,0)</f>
        <v>1</v>
      </c>
    </row>
    <row r="147" spans="1:17">
      <c r="A147" t="s">
        <v>172</v>
      </c>
      <c r="B147" t="s">
        <v>18</v>
      </c>
      <c r="C147" t="s">
        <v>21</v>
      </c>
      <c r="D147" s="1">
        <v>0</v>
      </c>
      <c r="E147" t="s">
        <v>20</v>
      </c>
      <c r="F147" t="s">
        <v>21</v>
      </c>
      <c r="G147">
        <v>12941</v>
      </c>
      <c r="H147">
        <v>0</v>
      </c>
      <c r="I147">
        <v>199</v>
      </c>
      <c r="J147">
        <v>360</v>
      </c>
      <c r="K147">
        <v>1</v>
      </c>
      <c r="L147" t="s">
        <v>22</v>
      </c>
      <c r="M147">
        <f>Table1[[#This Row],[ApplicantIncome]]+Table1[[#This Row],[CoapplicantIncome]]</f>
        <v>12941</v>
      </c>
      <c r="N147">
        <f>Table1[[#This Row],[LoanAmount]] /Table1[[#This Row],[Total_Income ]]</f>
        <v>1.5377482420214821E-2</v>
      </c>
      <c r="O147">
        <f>Table1[[#This Row],[LoanAmount]]/Table1[[#This Row],[Loan_Amount_Term]]</f>
        <v>0.55277777777777781</v>
      </c>
      <c r="P147">
        <f>IF(Table1[[#This Row],[Total_Income ]]&gt;=AVERAGE(Table1[[#This Row],[Total_Income ]]),1,0)</f>
        <v>1</v>
      </c>
      <c r="Q147">
        <f>IF(Table1[[#This Row],[LoanAmount]]&gt;=AVERAGE(Table1[[#This Row],[LoanAmount]]),1,0)</f>
        <v>1</v>
      </c>
    </row>
    <row r="148" spans="1:17">
      <c r="A148" t="s">
        <v>173</v>
      </c>
      <c r="B148" t="s">
        <v>18</v>
      </c>
      <c r="C148" t="s">
        <v>21</v>
      </c>
      <c r="D148" s="1">
        <v>0</v>
      </c>
      <c r="E148" t="s">
        <v>27</v>
      </c>
      <c r="F148" t="s">
        <v>21</v>
      </c>
      <c r="G148">
        <v>3276</v>
      </c>
      <c r="H148">
        <v>0</v>
      </c>
      <c r="I148">
        <v>139</v>
      </c>
      <c r="J148">
        <v>360</v>
      </c>
      <c r="K148">
        <v>1</v>
      </c>
      <c r="L148" t="s">
        <v>31</v>
      </c>
      <c r="M148">
        <f>Table1[[#This Row],[ApplicantIncome]]+Table1[[#This Row],[CoapplicantIncome]]</f>
        <v>3276</v>
      </c>
      <c r="N148">
        <f>Table1[[#This Row],[LoanAmount]] /Table1[[#This Row],[Total_Income ]]</f>
        <v>4.2429792429792432E-2</v>
      </c>
      <c r="O148">
        <f>Table1[[#This Row],[LoanAmount]]/Table1[[#This Row],[Loan_Amount_Term]]</f>
        <v>0.38611111111111113</v>
      </c>
      <c r="P148">
        <f>IF(Table1[[#This Row],[Total_Income ]]&gt;=AVERAGE(Table1[[#This Row],[Total_Income ]]),1,0)</f>
        <v>1</v>
      </c>
      <c r="Q148">
        <f>IF(Table1[[#This Row],[LoanAmount]]&gt;=AVERAGE(Table1[[#This Row],[LoanAmount]]),1,0)</f>
        <v>1</v>
      </c>
    </row>
    <row r="149" spans="1:17">
      <c r="A149" t="s">
        <v>174</v>
      </c>
      <c r="B149" t="s">
        <v>18</v>
      </c>
      <c r="C149" t="s">
        <v>21</v>
      </c>
      <c r="D149" s="1">
        <v>0</v>
      </c>
      <c r="E149" t="s">
        <v>27</v>
      </c>
      <c r="F149" t="s">
        <v>21</v>
      </c>
      <c r="G149">
        <v>8703</v>
      </c>
      <c r="H149">
        <v>0</v>
      </c>
      <c r="I149">
        <v>150</v>
      </c>
      <c r="J149">
        <v>360</v>
      </c>
      <c r="K149">
        <v>1</v>
      </c>
      <c r="L149" t="s">
        <v>33</v>
      </c>
      <c r="M149">
        <f>Table1[[#This Row],[ApplicantIncome]]+Table1[[#This Row],[CoapplicantIncome]]</f>
        <v>8703</v>
      </c>
      <c r="N149">
        <f>Table1[[#This Row],[LoanAmount]] /Table1[[#This Row],[Total_Income ]]</f>
        <v>1.723543605653223E-2</v>
      </c>
      <c r="O149">
        <f>Table1[[#This Row],[LoanAmount]]/Table1[[#This Row],[Loan_Amount_Term]]</f>
        <v>0.41666666666666669</v>
      </c>
      <c r="P149">
        <f>IF(Table1[[#This Row],[Total_Income ]]&gt;=AVERAGE(Table1[[#This Row],[Total_Income ]]),1,0)</f>
        <v>1</v>
      </c>
      <c r="Q149">
        <f>IF(Table1[[#This Row],[LoanAmount]]&gt;=AVERAGE(Table1[[#This Row],[LoanAmount]]),1,0)</f>
        <v>1</v>
      </c>
    </row>
    <row r="150" spans="1:17">
      <c r="A150" t="s">
        <v>175</v>
      </c>
      <c r="B150" t="s">
        <v>18</v>
      </c>
      <c r="C150" t="s">
        <v>19</v>
      </c>
      <c r="D150" s="1">
        <v>0</v>
      </c>
      <c r="E150" t="s">
        <v>20</v>
      </c>
      <c r="F150" t="s">
        <v>19</v>
      </c>
      <c r="G150">
        <v>4742</v>
      </c>
      <c r="H150">
        <v>717</v>
      </c>
      <c r="I150">
        <v>180</v>
      </c>
      <c r="J150">
        <v>360</v>
      </c>
      <c r="K150">
        <v>1</v>
      </c>
      <c r="L150" t="s">
        <v>31</v>
      </c>
      <c r="M150">
        <f>Table1[[#This Row],[ApplicantIncome]]+Table1[[#This Row],[CoapplicantIncome]]</f>
        <v>5459</v>
      </c>
      <c r="N150">
        <f>Table1[[#This Row],[LoanAmount]] /Table1[[#This Row],[Total_Income ]]</f>
        <v>3.2973071991207178E-2</v>
      </c>
      <c r="O150">
        <f>Table1[[#This Row],[LoanAmount]]/Table1[[#This Row],[Loan_Amount_Term]]</f>
        <v>0.5</v>
      </c>
      <c r="P150">
        <f>IF(Table1[[#This Row],[Total_Income ]]&gt;=AVERAGE(Table1[[#This Row],[Total_Income ]]),1,0)</f>
        <v>1</v>
      </c>
      <c r="Q150">
        <f>IF(Table1[[#This Row],[LoanAmount]]&gt;=AVERAGE(Table1[[#This Row],[LoanAmount]]),1,0)</f>
        <v>1</v>
      </c>
    </row>
    <row r="151" spans="1:17">
      <c r="A151" t="s">
        <v>176</v>
      </c>
      <c r="B151" t="s">
        <v>18</v>
      </c>
      <c r="C151" t="s">
        <v>21</v>
      </c>
      <c r="D151" s="1">
        <v>1</v>
      </c>
      <c r="E151" t="s">
        <v>20</v>
      </c>
      <c r="F151" t="s">
        <v>19</v>
      </c>
      <c r="G151">
        <v>5900</v>
      </c>
      <c r="H151">
        <v>0</v>
      </c>
      <c r="I151">
        <v>113</v>
      </c>
      <c r="J151">
        <v>360</v>
      </c>
      <c r="K151">
        <v>1</v>
      </c>
      <c r="L151" t="s">
        <v>22</v>
      </c>
      <c r="M151">
        <f>Table1[[#This Row],[ApplicantIncome]]+Table1[[#This Row],[CoapplicantIncome]]</f>
        <v>5900</v>
      </c>
      <c r="N151">
        <f>Table1[[#This Row],[LoanAmount]] /Table1[[#This Row],[Total_Income ]]</f>
        <v>1.9152542372881356E-2</v>
      </c>
      <c r="O151">
        <f>Table1[[#This Row],[LoanAmount]]/Table1[[#This Row],[Loan_Amount_Term]]</f>
        <v>0.31388888888888888</v>
      </c>
      <c r="P151">
        <f>IF(Table1[[#This Row],[Total_Income ]]&gt;=AVERAGE(Table1[[#This Row],[Total_Income ]]),1,0)</f>
        <v>1</v>
      </c>
      <c r="Q151">
        <f>IF(Table1[[#This Row],[LoanAmount]]&gt;=AVERAGE(Table1[[#This Row],[LoanAmount]]),1,0)</f>
        <v>1</v>
      </c>
    </row>
    <row r="152" spans="1:17">
      <c r="A152" t="s">
        <v>177</v>
      </c>
      <c r="B152" t="s">
        <v>18</v>
      </c>
      <c r="C152" t="s">
        <v>21</v>
      </c>
      <c r="D152" s="1">
        <v>2</v>
      </c>
      <c r="E152" t="s">
        <v>20</v>
      </c>
      <c r="F152" t="s">
        <v>21</v>
      </c>
      <c r="G152">
        <v>3071</v>
      </c>
      <c r="H152">
        <v>4309</v>
      </c>
      <c r="I152">
        <v>148</v>
      </c>
      <c r="J152">
        <v>360</v>
      </c>
      <c r="K152">
        <v>0</v>
      </c>
      <c r="L152" t="s">
        <v>22</v>
      </c>
      <c r="M152">
        <f>Table1[[#This Row],[ApplicantIncome]]+Table1[[#This Row],[CoapplicantIncome]]</f>
        <v>7380</v>
      </c>
      <c r="N152">
        <f>Table1[[#This Row],[LoanAmount]] /Table1[[#This Row],[Total_Income ]]</f>
        <v>2.0054200542005421E-2</v>
      </c>
      <c r="O152">
        <f>Table1[[#This Row],[LoanAmount]]/Table1[[#This Row],[Loan_Amount_Term]]</f>
        <v>0.41111111111111109</v>
      </c>
      <c r="P152">
        <f>IF(Table1[[#This Row],[Total_Income ]]&gt;=AVERAGE(Table1[[#This Row],[Total_Income ]]),1,0)</f>
        <v>1</v>
      </c>
      <c r="Q152">
        <f>IF(Table1[[#This Row],[LoanAmount]]&gt;=AVERAGE(Table1[[#This Row],[LoanAmount]]),1,0)</f>
        <v>1</v>
      </c>
    </row>
    <row r="153" spans="1:17">
      <c r="A153" t="s">
        <v>178</v>
      </c>
      <c r="B153" t="s">
        <v>18</v>
      </c>
      <c r="C153" t="s">
        <v>19</v>
      </c>
      <c r="D153" s="1">
        <v>0</v>
      </c>
      <c r="E153" t="s">
        <v>20</v>
      </c>
      <c r="F153" t="s">
        <v>21</v>
      </c>
      <c r="G153">
        <v>2783</v>
      </c>
      <c r="H153">
        <v>1456</v>
      </c>
      <c r="I153">
        <v>117</v>
      </c>
      <c r="J153">
        <v>300</v>
      </c>
      <c r="K153">
        <v>1</v>
      </c>
      <c r="L153" t="s">
        <v>22</v>
      </c>
      <c r="M153">
        <f>Table1[[#This Row],[ApplicantIncome]]+Table1[[#This Row],[CoapplicantIncome]]</f>
        <v>4239</v>
      </c>
      <c r="N153">
        <f>Table1[[#This Row],[LoanAmount]] /Table1[[#This Row],[Total_Income ]]</f>
        <v>2.7600849256900213E-2</v>
      </c>
      <c r="O153">
        <f>Table1[[#This Row],[LoanAmount]]/Table1[[#This Row],[Loan_Amount_Term]]</f>
        <v>0.39</v>
      </c>
      <c r="P153">
        <f>IF(Table1[[#This Row],[Total_Income ]]&gt;=AVERAGE(Table1[[#This Row],[Total_Income ]]),1,0)</f>
        <v>1</v>
      </c>
      <c r="Q153">
        <f>IF(Table1[[#This Row],[LoanAmount]]&gt;=AVERAGE(Table1[[#This Row],[LoanAmount]]),1,0)</f>
        <v>1</v>
      </c>
    </row>
    <row r="154" spans="1:17">
      <c r="A154" t="s">
        <v>179</v>
      </c>
      <c r="B154" t="s">
        <v>18</v>
      </c>
      <c r="C154" t="s">
        <v>21</v>
      </c>
      <c r="D154" s="1">
        <v>2</v>
      </c>
      <c r="E154" t="s">
        <v>20</v>
      </c>
      <c r="F154" t="s">
        <v>21</v>
      </c>
      <c r="G154">
        <v>5000</v>
      </c>
      <c r="H154">
        <v>0</v>
      </c>
      <c r="I154">
        <v>72</v>
      </c>
      <c r="J154">
        <v>360</v>
      </c>
      <c r="K154">
        <v>1</v>
      </c>
      <c r="L154" t="s">
        <v>33</v>
      </c>
      <c r="M154">
        <f>Table1[[#This Row],[ApplicantIncome]]+Table1[[#This Row],[CoapplicantIncome]]</f>
        <v>5000</v>
      </c>
      <c r="N154">
        <f>Table1[[#This Row],[LoanAmount]] /Table1[[#This Row],[Total_Income ]]</f>
        <v>1.44E-2</v>
      </c>
      <c r="O154">
        <f>Table1[[#This Row],[LoanAmount]]/Table1[[#This Row],[Loan_Amount_Term]]</f>
        <v>0.2</v>
      </c>
      <c r="P154">
        <f>IF(Table1[[#This Row],[Total_Income ]]&gt;=AVERAGE(Table1[[#This Row],[Total_Income ]]),1,0)</f>
        <v>1</v>
      </c>
      <c r="Q154">
        <f>IF(Table1[[#This Row],[LoanAmount]]&gt;=AVERAGE(Table1[[#This Row],[LoanAmount]]),1,0)</f>
        <v>1</v>
      </c>
    </row>
    <row r="155" spans="1:17">
      <c r="A155" t="s">
        <v>180</v>
      </c>
      <c r="B155" t="s">
        <v>18</v>
      </c>
      <c r="C155" t="s">
        <v>19</v>
      </c>
      <c r="D155" s="1">
        <v>0</v>
      </c>
      <c r="E155" t="s">
        <v>27</v>
      </c>
      <c r="F155" t="s">
        <v>21</v>
      </c>
      <c r="G155">
        <v>2463</v>
      </c>
      <c r="H155">
        <v>2360</v>
      </c>
      <c r="I155">
        <v>125</v>
      </c>
      <c r="J155">
        <v>350</v>
      </c>
      <c r="K155">
        <v>0</v>
      </c>
      <c r="L155" t="s">
        <v>22</v>
      </c>
      <c r="M155">
        <f>Table1[[#This Row],[ApplicantIncome]]+Table1[[#This Row],[CoapplicantIncome]]</f>
        <v>4823</v>
      </c>
      <c r="N155">
        <f>Table1[[#This Row],[LoanAmount]] /Table1[[#This Row],[Total_Income ]]</f>
        <v>2.5917478747667425E-2</v>
      </c>
      <c r="O155">
        <f>Table1[[#This Row],[LoanAmount]]/Table1[[#This Row],[Loan_Amount_Term]]</f>
        <v>0.35714285714285715</v>
      </c>
      <c r="P155">
        <f>IF(Table1[[#This Row],[Total_Income ]]&gt;=AVERAGE(Table1[[#This Row],[Total_Income ]]),1,0)</f>
        <v>1</v>
      </c>
      <c r="Q155">
        <f>IF(Table1[[#This Row],[LoanAmount]]&gt;=AVERAGE(Table1[[#This Row],[LoanAmount]]),1,0)</f>
        <v>1</v>
      </c>
    </row>
    <row r="156" spans="1:17">
      <c r="A156" t="s">
        <v>181</v>
      </c>
      <c r="B156" t="s">
        <v>18</v>
      </c>
      <c r="C156" t="s">
        <v>19</v>
      </c>
      <c r="D156" s="1">
        <v>1</v>
      </c>
      <c r="E156" t="s">
        <v>20</v>
      </c>
      <c r="F156" t="s">
        <v>21</v>
      </c>
      <c r="G156">
        <v>4855</v>
      </c>
      <c r="H156">
        <v>0</v>
      </c>
      <c r="I156">
        <v>214</v>
      </c>
      <c r="J156">
        <v>360</v>
      </c>
      <c r="K156">
        <v>0</v>
      </c>
      <c r="L156" t="s">
        <v>33</v>
      </c>
      <c r="M156">
        <f>Table1[[#This Row],[ApplicantIncome]]+Table1[[#This Row],[CoapplicantIncome]]</f>
        <v>4855</v>
      </c>
      <c r="N156">
        <f>Table1[[#This Row],[LoanAmount]] /Table1[[#This Row],[Total_Income ]]</f>
        <v>4.4078269824922758E-2</v>
      </c>
      <c r="O156">
        <f>Table1[[#This Row],[LoanAmount]]/Table1[[#This Row],[Loan_Amount_Term]]</f>
        <v>0.59444444444444444</v>
      </c>
      <c r="P156">
        <f>IF(Table1[[#This Row],[Total_Income ]]&gt;=AVERAGE(Table1[[#This Row],[Total_Income ]]),1,0)</f>
        <v>1</v>
      </c>
      <c r="Q156">
        <f>IF(Table1[[#This Row],[LoanAmount]]&gt;=AVERAGE(Table1[[#This Row],[LoanAmount]]),1,0)</f>
        <v>1</v>
      </c>
    </row>
    <row r="157" spans="1:17">
      <c r="A157" t="s">
        <v>182</v>
      </c>
      <c r="B157" t="s">
        <v>18</v>
      </c>
      <c r="C157" t="s">
        <v>21</v>
      </c>
      <c r="D157" s="1">
        <v>0</v>
      </c>
      <c r="E157" t="s">
        <v>27</v>
      </c>
      <c r="F157" t="s">
        <v>21</v>
      </c>
      <c r="G157">
        <v>1599</v>
      </c>
      <c r="H157">
        <v>2474</v>
      </c>
      <c r="I157">
        <v>133</v>
      </c>
      <c r="J157">
        <v>360</v>
      </c>
      <c r="K157">
        <v>1</v>
      </c>
      <c r="L157" t="s">
        <v>31</v>
      </c>
      <c r="M157">
        <f>Table1[[#This Row],[ApplicantIncome]]+Table1[[#This Row],[CoapplicantIncome]]</f>
        <v>4073</v>
      </c>
      <c r="N157">
        <f>Table1[[#This Row],[LoanAmount]] /Table1[[#This Row],[Total_Income ]]</f>
        <v>3.26540633439725E-2</v>
      </c>
      <c r="O157">
        <f>Table1[[#This Row],[LoanAmount]]/Table1[[#This Row],[Loan_Amount_Term]]</f>
        <v>0.36944444444444446</v>
      </c>
      <c r="P157">
        <f>IF(Table1[[#This Row],[Total_Income ]]&gt;=AVERAGE(Table1[[#This Row],[Total_Income ]]),1,0)</f>
        <v>1</v>
      </c>
      <c r="Q157">
        <f>IF(Table1[[#This Row],[LoanAmount]]&gt;=AVERAGE(Table1[[#This Row],[LoanAmount]]),1,0)</f>
        <v>1</v>
      </c>
    </row>
    <row r="158" spans="1:17">
      <c r="A158" t="s">
        <v>183</v>
      </c>
      <c r="B158" t="s">
        <v>18</v>
      </c>
      <c r="C158" t="s">
        <v>19</v>
      </c>
      <c r="D158" s="1">
        <v>0</v>
      </c>
      <c r="E158" t="s">
        <v>20</v>
      </c>
      <c r="F158" t="s">
        <v>21</v>
      </c>
      <c r="G158">
        <v>4246</v>
      </c>
      <c r="H158">
        <v>4246</v>
      </c>
      <c r="I158">
        <v>187</v>
      </c>
      <c r="J158">
        <v>360</v>
      </c>
      <c r="K158">
        <v>0</v>
      </c>
      <c r="L158" t="s">
        <v>22</v>
      </c>
      <c r="M158">
        <f>Table1[[#This Row],[ApplicantIncome]]+Table1[[#This Row],[CoapplicantIncome]]</f>
        <v>8492</v>
      </c>
      <c r="N158">
        <f>Table1[[#This Row],[LoanAmount]] /Table1[[#This Row],[Total_Income ]]</f>
        <v>2.2020725388601035E-2</v>
      </c>
      <c r="O158">
        <f>Table1[[#This Row],[LoanAmount]]/Table1[[#This Row],[Loan_Amount_Term]]</f>
        <v>0.51944444444444449</v>
      </c>
      <c r="P158">
        <f>IF(Table1[[#This Row],[Total_Income ]]&gt;=AVERAGE(Table1[[#This Row],[Total_Income ]]),1,0)</f>
        <v>1</v>
      </c>
      <c r="Q158">
        <f>IF(Table1[[#This Row],[LoanAmount]]&gt;=AVERAGE(Table1[[#This Row],[LoanAmount]]),1,0)</f>
        <v>1</v>
      </c>
    </row>
    <row r="159" spans="1:17">
      <c r="A159" t="s">
        <v>184</v>
      </c>
      <c r="B159" t="s">
        <v>18</v>
      </c>
      <c r="C159" t="s">
        <v>19</v>
      </c>
      <c r="D159" s="1">
        <v>0</v>
      </c>
      <c r="E159" t="s">
        <v>20</v>
      </c>
      <c r="F159" t="s">
        <v>21</v>
      </c>
      <c r="G159">
        <v>4333</v>
      </c>
      <c r="H159">
        <v>2291</v>
      </c>
      <c r="I159">
        <v>143</v>
      </c>
      <c r="J159">
        <v>360</v>
      </c>
      <c r="K159">
        <v>1</v>
      </c>
      <c r="L159" t="s">
        <v>33</v>
      </c>
      <c r="M159">
        <f>Table1[[#This Row],[ApplicantIncome]]+Table1[[#This Row],[CoapplicantIncome]]</f>
        <v>6624</v>
      </c>
      <c r="N159">
        <f>Table1[[#This Row],[LoanAmount]] /Table1[[#This Row],[Total_Income ]]</f>
        <v>2.1588164251207728E-2</v>
      </c>
      <c r="O159">
        <f>Table1[[#This Row],[LoanAmount]]/Table1[[#This Row],[Loan_Amount_Term]]</f>
        <v>0.3972222222222222</v>
      </c>
      <c r="P159">
        <f>IF(Table1[[#This Row],[Total_Income ]]&gt;=AVERAGE(Table1[[#This Row],[Total_Income ]]),1,0)</f>
        <v>1</v>
      </c>
      <c r="Q159">
        <f>IF(Table1[[#This Row],[LoanAmount]]&gt;=AVERAGE(Table1[[#This Row],[LoanAmount]]),1,0)</f>
        <v>1</v>
      </c>
    </row>
    <row r="160" spans="1:17">
      <c r="A160" t="s">
        <v>185</v>
      </c>
      <c r="B160" t="s">
        <v>18</v>
      </c>
      <c r="C160" t="s">
        <v>21</v>
      </c>
      <c r="D160" s="1">
        <v>0</v>
      </c>
      <c r="E160" t="s">
        <v>20</v>
      </c>
      <c r="F160" t="s">
        <v>21</v>
      </c>
      <c r="G160">
        <v>5823</v>
      </c>
      <c r="H160">
        <v>2529</v>
      </c>
      <c r="I160">
        <v>209</v>
      </c>
      <c r="J160">
        <v>360</v>
      </c>
      <c r="K160">
        <v>1</v>
      </c>
      <c r="L160" t="s">
        <v>31</v>
      </c>
      <c r="M160">
        <f>Table1[[#This Row],[ApplicantIncome]]+Table1[[#This Row],[CoapplicantIncome]]</f>
        <v>8352</v>
      </c>
      <c r="N160">
        <f>Table1[[#This Row],[LoanAmount]] /Table1[[#This Row],[Total_Income ]]</f>
        <v>2.5023946360153256E-2</v>
      </c>
      <c r="O160">
        <f>Table1[[#This Row],[LoanAmount]]/Table1[[#This Row],[Loan_Amount_Term]]</f>
        <v>0.5805555555555556</v>
      </c>
      <c r="P160">
        <f>IF(Table1[[#This Row],[Total_Income ]]&gt;=AVERAGE(Table1[[#This Row],[Total_Income ]]),1,0)</f>
        <v>1</v>
      </c>
      <c r="Q160">
        <f>IF(Table1[[#This Row],[LoanAmount]]&gt;=AVERAGE(Table1[[#This Row],[LoanAmount]]),1,0)</f>
        <v>1</v>
      </c>
    </row>
    <row r="161" spans="1:17">
      <c r="A161" t="s">
        <v>186</v>
      </c>
      <c r="B161" t="s">
        <v>30</v>
      </c>
      <c r="C161" t="s">
        <v>19</v>
      </c>
      <c r="D161" s="1">
        <v>0</v>
      </c>
      <c r="E161" t="s">
        <v>27</v>
      </c>
      <c r="F161" t="s">
        <v>21</v>
      </c>
      <c r="G161">
        <v>7895</v>
      </c>
      <c r="H161">
        <v>0</v>
      </c>
      <c r="I161">
        <v>84</v>
      </c>
      <c r="J161">
        <v>360</v>
      </c>
      <c r="K161">
        <v>1</v>
      </c>
      <c r="L161" t="s">
        <v>33</v>
      </c>
      <c r="M161">
        <f>Table1[[#This Row],[ApplicantIncome]]+Table1[[#This Row],[CoapplicantIncome]]</f>
        <v>7895</v>
      </c>
      <c r="N161">
        <f>Table1[[#This Row],[LoanAmount]] /Table1[[#This Row],[Total_Income ]]</f>
        <v>1.0639645345155161E-2</v>
      </c>
      <c r="O161">
        <f>Table1[[#This Row],[LoanAmount]]/Table1[[#This Row],[Loan_Amount_Term]]</f>
        <v>0.23333333333333334</v>
      </c>
      <c r="P161">
        <f>IF(Table1[[#This Row],[Total_Income ]]&gt;=AVERAGE(Table1[[#This Row],[Total_Income ]]),1,0)</f>
        <v>1</v>
      </c>
      <c r="Q161">
        <f>IF(Table1[[#This Row],[LoanAmount]]&gt;=AVERAGE(Table1[[#This Row],[LoanAmount]]),1,0)</f>
        <v>1</v>
      </c>
    </row>
    <row r="162" spans="1:17">
      <c r="A162" t="s">
        <v>187</v>
      </c>
      <c r="B162" t="s">
        <v>18</v>
      </c>
      <c r="C162" t="s">
        <v>21</v>
      </c>
      <c r="D162" s="1">
        <v>1</v>
      </c>
      <c r="E162" t="s">
        <v>20</v>
      </c>
      <c r="F162" t="s">
        <v>21</v>
      </c>
      <c r="G162">
        <v>4150</v>
      </c>
      <c r="H162">
        <v>4256</v>
      </c>
      <c r="I162">
        <v>116</v>
      </c>
      <c r="J162">
        <v>240</v>
      </c>
      <c r="K162">
        <v>1</v>
      </c>
      <c r="L162" t="s">
        <v>33</v>
      </c>
      <c r="M162">
        <f>Table1[[#This Row],[ApplicantIncome]]+Table1[[#This Row],[CoapplicantIncome]]</f>
        <v>8406</v>
      </c>
      <c r="N162">
        <f>Table1[[#This Row],[LoanAmount]] /Table1[[#This Row],[Total_Income ]]</f>
        <v>1.3799666904591957E-2</v>
      </c>
      <c r="O162">
        <f>Table1[[#This Row],[LoanAmount]]/Table1[[#This Row],[Loan_Amount_Term]]</f>
        <v>0.48333333333333334</v>
      </c>
      <c r="P162">
        <f>IF(Table1[[#This Row],[Total_Income ]]&gt;=AVERAGE(Table1[[#This Row],[Total_Income ]]),1,0)</f>
        <v>1</v>
      </c>
      <c r="Q162">
        <f>IF(Table1[[#This Row],[LoanAmount]]&gt;=AVERAGE(Table1[[#This Row],[LoanAmount]]),1,0)</f>
        <v>1</v>
      </c>
    </row>
    <row r="163" spans="1:17">
      <c r="A163" t="s">
        <v>188</v>
      </c>
      <c r="B163" t="s">
        <v>18</v>
      </c>
      <c r="C163" t="s">
        <v>21</v>
      </c>
      <c r="D163" s="1">
        <v>0</v>
      </c>
      <c r="E163" t="s">
        <v>20</v>
      </c>
      <c r="F163" t="s">
        <v>21</v>
      </c>
      <c r="G163">
        <v>2964</v>
      </c>
      <c r="H163">
        <v>0</v>
      </c>
      <c r="I163">
        <v>65</v>
      </c>
      <c r="J163">
        <v>360</v>
      </c>
      <c r="K163">
        <v>0</v>
      </c>
      <c r="L163" t="s">
        <v>31</v>
      </c>
      <c r="M163">
        <f>Table1[[#This Row],[ApplicantIncome]]+Table1[[#This Row],[CoapplicantIncome]]</f>
        <v>2964</v>
      </c>
      <c r="N163">
        <f>Table1[[#This Row],[LoanAmount]] /Table1[[#This Row],[Total_Income ]]</f>
        <v>2.1929824561403508E-2</v>
      </c>
      <c r="O163">
        <f>Table1[[#This Row],[LoanAmount]]/Table1[[#This Row],[Loan_Amount_Term]]</f>
        <v>0.18055555555555555</v>
      </c>
      <c r="P163">
        <f>IF(Table1[[#This Row],[Total_Income ]]&gt;=AVERAGE(Table1[[#This Row],[Total_Income ]]),1,0)</f>
        <v>1</v>
      </c>
      <c r="Q163">
        <f>IF(Table1[[#This Row],[LoanAmount]]&gt;=AVERAGE(Table1[[#This Row],[LoanAmount]]),1,0)</f>
        <v>1</v>
      </c>
    </row>
    <row r="164" spans="1:17">
      <c r="A164" t="s">
        <v>189</v>
      </c>
      <c r="B164" t="s">
        <v>18</v>
      </c>
      <c r="C164" t="s">
        <v>21</v>
      </c>
      <c r="D164" s="1">
        <v>2</v>
      </c>
      <c r="E164" t="s">
        <v>20</v>
      </c>
      <c r="F164" t="s">
        <v>21</v>
      </c>
      <c r="G164">
        <v>5583</v>
      </c>
      <c r="H164">
        <v>0</v>
      </c>
      <c r="I164">
        <v>80</v>
      </c>
      <c r="J164">
        <v>360</v>
      </c>
      <c r="K164">
        <v>0</v>
      </c>
      <c r="L164" t="s">
        <v>22</v>
      </c>
      <c r="M164">
        <f>Table1[[#This Row],[ApplicantIncome]]+Table1[[#This Row],[CoapplicantIncome]]</f>
        <v>5583</v>
      </c>
      <c r="N164">
        <f>Table1[[#This Row],[LoanAmount]] /Table1[[#This Row],[Total_Income ]]</f>
        <v>1.4329213684399069E-2</v>
      </c>
      <c r="O164">
        <f>Table1[[#This Row],[LoanAmount]]/Table1[[#This Row],[Loan_Amount_Term]]</f>
        <v>0.22222222222222221</v>
      </c>
      <c r="P164">
        <f>IF(Table1[[#This Row],[Total_Income ]]&gt;=AVERAGE(Table1[[#This Row],[Total_Income ]]),1,0)</f>
        <v>1</v>
      </c>
      <c r="Q164">
        <f>IF(Table1[[#This Row],[LoanAmount]]&gt;=AVERAGE(Table1[[#This Row],[LoanAmount]]),1,0)</f>
        <v>1</v>
      </c>
    </row>
    <row r="165" spans="1:17">
      <c r="A165" t="s">
        <v>190</v>
      </c>
      <c r="B165" t="s">
        <v>18</v>
      </c>
      <c r="C165" t="s">
        <v>21</v>
      </c>
      <c r="D165" s="1">
        <v>0</v>
      </c>
      <c r="E165" t="s">
        <v>20</v>
      </c>
      <c r="F165" t="s">
        <v>21</v>
      </c>
      <c r="G165">
        <v>2708</v>
      </c>
      <c r="H165">
        <v>0</v>
      </c>
      <c r="I165">
        <v>170</v>
      </c>
      <c r="J165">
        <v>360</v>
      </c>
      <c r="K165">
        <v>1</v>
      </c>
      <c r="L165" t="s">
        <v>33</v>
      </c>
      <c r="M165">
        <f>Table1[[#This Row],[ApplicantIncome]]+Table1[[#This Row],[CoapplicantIncome]]</f>
        <v>2708</v>
      </c>
      <c r="N165">
        <f>Table1[[#This Row],[LoanAmount]] /Table1[[#This Row],[Total_Income ]]</f>
        <v>6.2776957163958647E-2</v>
      </c>
      <c r="O165">
        <f>Table1[[#This Row],[LoanAmount]]/Table1[[#This Row],[Loan_Amount_Term]]</f>
        <v>0.47222222222222221</v>
      </c>
      <c r="P165">
        <f>IF(Table1[[#This Row],[Total_Income ]]&gt;=AVERAGE(Table1[[#This Row],[Total_Income ]]),1,0)</f>
        <v>1</v>
      </c>
      <c r="Q165">
        <f>IF(Table1[[#This Row],[LoanAmount]]&gt;=AVERAGE(Table1[[#This Row],[LoanAmount]]),1,0)</f>
        <v>1</v>
      </c>
    </row>
    <row r="166" spans="1:17">
      <c r="A166" t="s">
        <v>191</v>
      </c>
      <c r="B166" t="s">
        <v>30</v>
      </c>
      <c r="C166" t="s">
        <v>21</v>
      </c>
      <c r="D166" s="1" t="s">
        <v>39</v>
      </c>
      <c r="E166" t="s">
        <v>20</v>
      </c>
      <c r="F166" t="s">
        <v>21</v>
      </c>
      <c r="G166">
        <v>3180</v>
      </c>
      <c r="H166">
        <v>2370</v>
      </c>
      <c r="I166">
        <v>120</v>
      </c>
      <c r="J166">
        <v>360</v>
      </c>
      <c r="K166">
        <v>1</v>
      </c>
      <c r="L166" t="s">
        <v>33</v>
      </c>
      <c r="M166">
        <f>Table1[[#This Row],[ApplicantIncome]]+Table1[[#This Row],[CoapplicantIncome]]</f>
        <v>5550</v>
      </c>
      <c r="N166">
        <f>Table1[[#This Row],[LoanAmount]] /Table1[[#This Row],[Total_Income ]]</f>
        <v>2.1621621621621623E-2</v>
      </c>
      <c r="O166">
        <f>Table1[[#This Row],[LoanAmount]]/Table1[[#This Row],[Loan_Amount_Term]]</f>
        <v>0.33333333333333331</v>
      </c>
      <c r="P166">
        <f>IF(Table1[[#This Row],[Total_Income ]]&gt;=AVERAGE(Table1[[#This Row],[Total_Income ]]),1,0)</f>
        <v>1</v>
      </c>
      <c r="Q166">
        <f>IF(Table1[[#This Row],[LoanAmount]]&gt;=AVERAGE(Table1[[#This Row],[LoanAmount]]),1,0)</f>
        <v>1</v>
      </c>
    </row>
    <row r="167" spans="1:17">
      <c r="A167" t="s">
        <v>192</v>
      </c>
      <c r="B167" t="s">
        <v>30</v>
      </c>
      <c r="C167" t="s">
        <v>21</v>
      </c>
      <c r="D167" s="1">
        <v>1</v>
      </c>
      <c r="E167" t="s">
        <v>27</v>
      </c>
      <c r="F167" t="s">
        <v>21</v>
      </c>
      <c r="G167">
        <v>2268</v>
      </c>
      <c r="H167">
        <v>0</v>
      </c>
      <c r="I167">
        <v>135</v>
      </c>
      <c r="J167">
        <v>360</v>
      </c>
      <c r="K167">
        <v>1</v>
      </c>
      <c r="L167" t="s">
        <v>31</v>
      </c>
      <c r="M167">
        <f>Table1[[#This Row],[ApplicantIncome]]+Table1[[#This Row],[CoapplicantIncome]]</f>
        <v>2268</v>
      </c>
      <c r="N167">
        <f>Table1[[#This Row],[LoanAmount]] /Table1[[#This Row],[Total_Income ]]</f>
        <v>5.9523809523809521E-2</v>
      </c>
      <c r="O167">
        <f>Table1[[#This Row],[LoanAmount]]/Table1[[#This Row],[Loan_Amount_Term]]</f>
        <v>0.375</v>
      </c>
      <c r="P167">
        <f>IF(Table1[[#This Row],[Total_Income ]]&gt;=AVERAGE(Table1[[#This Row],[Total_Income ]]),1,0)</f>
        <v>1</v>
      </c>
      <c r="Q167">
        <f>IF(Table1[[#This Row],[LoanAmount]]&gt;=AVERAGE(Table1[[#This Row],[LoanAmount]]),1,0)</f>
        <v>1</v>
      </c>
    </row>
    <row r="168" spans="1:17">
      <c r="A168" t="s">
        <v>193</v>
      </c>
      <c r="B168" t="s">
        <v>30</v>
      </c>
      <c r="C168" t="s">
        <v>21</v>
      </c>
      <c r="D168" s="1">
        <v>0</v>
      </c>
      <c r="E168" t="s">
        <v>27</v>
      </c>
      <c r="F168" t="s">
        <v>21</v>
      </c>
      <c r="G168">
        <v>1141</v>
      </c>
      <c r="H168">
        <v>2017</v>
      </c>
      <c r="I168">
        <v>94</v>
      </c>
      <c r="J168">
        <v>360</v>
      </c>
      <c r="K168">
        <v>1</v>
      </c>
      <c r="L168" t="s">
        <v>22</v>
      </c>
      <c r="M168">
        <f>Table1[[#This Row],[ApplicantIncome]]+Table1[[#This Row],[CoapplicantIncome]]</f>
        <v>3158</v>
      </c>
      <c r="N168">
        <f>Table1[[#This Row],[LoanAmount]] /Table1[[#This Row],[Total_Income ]]</f>
        <v>2.9765674477517417E-2</v>
      </c>
      <c r="O168">
        <f>Table1[[#This Row],[LoanAmount]]/Table1[[#This Row],[Loan_Amount_Term]]</f>
        <v>0.26111111111111113</v>
      </c>
      <c r="P168">
        <f>IF(Table1[[#This Row],[Total_Income ]]&gt;=AVERAGE(Table1[[#This Row],[Total_Income ]]),1,0)</f>
        <v>1</v>
      </c>
      <c r="Q168">
        <f>IF(Table1[[#This Row],[LoanAmount]]&gt;=AVERAGE(Table1[[#This Row],[LoanAmount]]),1,0)</f>
        <v>1</v>
      </c>
    </row>
    <row r="169" spans="1:17">
      <c r="A169" t="s">
        <v>194</v>
      </c>
      <c r="B169" t="s">
        <v>18</v>
      </c>
      <c r="C169" t="s">
        <v>19</v>
      </c>
      <c r="D169" s="1">
        <v>2</v>
      </c>
      <c r="E169" t="s">
        <v>20</v>
      </c>
      <c r="F169" t="s">
        <v>21</v>
      </c>
      <c r="G169">
        <v>3042</v>
      </c>
      <c r="H169">
        <v>3167</v>
      </c>
      <c r="I169">
        <v>79</v>
      </c>
      <c r="J169">
        <v>360</v>
      </c>
      <c r="K169">
        <v>1</v>
      </c>
      <c r="L169" t="s">
        <v>22</v>
      </c>
      <c r="M169">
        <f>Table1[[#This Row],[ApplicantIncome]]+Table1[[#This Row],[CoapplicantIncome]]</f>
        <v>6209</v>
      </c>
      <c r="N169">
        <f>Table1[[#This Row],[LoanAmount]] /Table1[[#This Row],[Total_Income ]]</f>
        <v>1.2723465936543726E-2</v>
      </c>
      <c r="O169">
        <f>Table1[[#This Row],[LoanAmount]]/Table1[[#This Row],[Loan_Amount_Term]]</f>
        <v>0.21944444444444444</v>
      </c>
      <c r="P169">
        <f>IF(Table1[[#This Row],[Total_Income ]]&gt;=AVERAGE(Table1[[#This Row],[Total_Income ]]),1,0)</f>
        <v>1</v>
      </c>
      <c r="Q169">
        <f>IF(Table1[[#This Row],[LoanAmount]]&gt;=AVERAGE(Table1[[#This Row],[LoanAmount]]),1,0)</f>
        <v>1</v>
      </c>
    </row>
    <row r="170" spans="1:17">
      <c r="A170" t="s">
        <v>195</v>
      </c>
      <c r="B170" t="s">
        <v>18</v>
      </c>
      <c r="C170" t="s">
        <v>19</v>
      </c>
      <c r="D170" s="1">
        <v>0</v>
      </c>
      <c r="E170" t="s">
        <v>20</v>
      </c>
      <c r="F170" t="s">
        <v>21</v>
      </c>
      <c r="G170">
        <v>1750</v>
      </c>
      <c r="H170">
        <v>2935</v>
      </c>
      <c r="I170">
        <v>110</v>
      </c>
      <c r="J170">
        <v>360</v>
      </c>
      <c r="K170">
        <v>1</v>
      </c>
      <c r="L170" t="s">
        <v>31</v>
      </c>
      <c r="M170">
        <f>Table1[[#This Row],[ApplicantIncome]]+Table1[[#This Row],[CoapplicantIncome]]</f>
        <v>4685</v>
      </c>
      <c r="N170">
        <f>Table1[[#This Row],[LoanAmount]] /Table1[[#This Row],[Total_Income ]]</f>
        <v>2.3479188900747065E-2</v>
      </c>
      <c r="O170">
        <f>Table1[[#This Row],[LoanAmount]]/Table1[[#This Row],[Loan_Amount_Term]]</f>
        <v>0.30555555555555558</v>
      </c>
      <c r="P170">
        <f>IF(Table1[[#This Row],[Total_Income ]]&gt;=AVERAGE(Table1[[#This Row],[Total_Income ]]),1,0)</f>
        <v>1</v>
      </c>
      <c r="Q170">
        <f>IF(Table1[[#This Row],[LoanAmount]]&gt;=AVERAGE(Table1[[#This Row],[LoanAmount]]),1,0)</f>
        <v>1</v>
      </c>
    </row>
    <row r="171" spans="1:17">
      <c r="A171" t="s">
        <v>196</v>
      </c>
      <c r="B171" t="s">
        <v>18</v>
      </c>
      <c r="C171" t="s">
        <v>19</v>
      </c>
      <c r="D171" s="1">
        <v>0</v>
      </c>
      <c r="E171" t="s">
        <v>20</v>
      </c>
      <c r="F171" t="s">
        <v>21</v>
      </c>
      <c r="G171">
        <v>3564</v>
      </c>
      <c r="H171">
        <v>0</v>
      </c>
      <c r="I171">
        <v>130</v>
      </c>
      <c r="J171">
        <v>180</v>
      </c>
      <c r="K171">
        <v>1</v>
      </c>
      <c r="L171" t="s">
        <v>33</v>
      </c>
      <c r="M171">
        <f>Table1[[#This Row],[ApplicantIncome]]+Table1[[#This Row],[CoapplicantIncome]]</f>
        <v>3564</v>
      </c>
      <c r="N171">
        <f>Table1[[#This Row],[LoanAmount]] /Table1[[#This Row],[Total_Income ]]</f>
        <v>3.6475869809203143E-2</v>
      </c>
      <c r="O171">
        <f>Table1[[#This Row],[LoanAmount]]/Table1[[#This Row],[Loan_Amount_Term]]</f>
        <v>0.72222222222222221</v>
      </c>
      <c r="P171">
        <f>IF(Table1[[#This Row],[Total_Income ]]&gt;=AVERAGE(Table1[[#This Row],[Total_Income ]]),1,0)</f>
        <v>1</v>
      </c>
      <c r="Q171">
        <f>IF(Table1[[#This Row],[LoanAmount]]&gt;=AVERAGE(Table1[[#This Row],[LoanAmount]]),1,0)</f>
        <v>1</v>
      </c>
    </row>
    <row r="172" spans="1:17">
      <c r="A172" t="s">
        <v>197</v>
      </c>
      <c r="B172" t="s">
        <v>18</v>
      </c>
      <c r="C172" t="s">
        <v>21</v>
      </c>
      <c r="D172" s="1">
        <v>0</v>
      </c>
      <c r="E172" t="s">
        <v>20</v>
      </c>
      <c r="F172" t="s">
        <v>21</v>
      </c>
      <c r="G172">
        <v>3958</v>
      </c>
      <c r="H172">
        <v>0</v>
      </c>
      <c r="I172">
        <v>143</v>
      </c>
      <c r="J172">
        <v>360</v>
      </c>
      <c r="K172">
        <v>1</v>
      </c>
      <c r="L172" t="s">
        <v>33</v>
      </c>
      <c r="M172">
        <f>Table1[[#This Row],[ApplicantIncome]]+Table1[[#This Row],[CoapplicantIncome]]</f>
        <v>3958</v>
      </c>
      <c r="N172">
        <f>Table1[[#This Row],[LoanAmount]] /Table1[[#This Row],[Total_Income ]]</f>
        <v>3.6129358261748359E-2</v>
      </c>
      <c r="O172">
        <f>Table1[[#This Row],[LoanAmount]]/Table1[[#This Row],[Loan_Amount_Term]]</f>
        <v>0.3972222222222222</v>
      </c>
      <c r="P172">
        <f>IF(Table1[[#This Row],[Total_Income ]]&gt;=AVERAGE(Table1[[#This Row],[Total_Income ]]),1,0)</f>
        <v>1</v>
      </c>
      <c r="Q172">
        <f>IF(Table1[[#This Row],[LoanAmount]]&gt;=AVERAGE(Table1[[#This Row],[LoanAmount]]),1,0)</f>
        <v>1</v>
      </c>
    </row>
    <row r="173" spans="1:17">
      <c r="A173" t="s">
        <v>198</v>
      </c>
      <c r="B173" t="s">
        <v>18</v>
      </c>
      <c r="C173" t="s">
        <v>19</v>
      </c>
      <c r="D173" s="1">
        <v>2</v>
      </c>
      <c r="E173" t="s">
        <v>27</v>
      </c>
      <c r="F173" t="s">
        <v>21</v>
      </c>
      <c r="G173">
        <v>4483</v>
      </c>
      <c r="H173">
        <v>0</v>
      </c>
      <c r="I173">
        <v>159</v>
      </c>
      <c r="J173">
        <v>360</v>
      </c>
      <c r="K173">
        <v>1</v>
      </c>
      <c r="L173" t="s">
        <v>33</v>
      </c>
      <c r="M173">
        <f>Table1[[#This Row],[ApplicantIncome]]+Table1[[#This Row],[CoapplicantIncome]]</f>
        <v>4483</v>
      </c>
      <c r="N173">
        <f>Table1[[#This Row],[LoanAmount]] /Table1[[#This Row],[Total_Income ]]</f>
        <v>3.546732099040821E-2</v>
      </c>
      <c r="O173">
        <f>Table1[[#This Row],[LoanAmount]]/Table1[[#This Row],[Loan_Amount_Term]]</f>
        <v>0.44166666666666665</v>
      </c>
      <c r="P173">
        <f>IF(Table1[[#This Row],[Total_Income ]]&gt;=AVERAGE(Table1[[#This Row],[Total_Income ]]),1,0)</f>
        <v>1</v>
      </c>
      <c r="Q173">
        <f>IF(Table1[[#This Row],[LoanAmount]]&gt;=AVERAGE(Table1[[#This Row],[LoanAmount]]),1,0)</f>
        <v>1</v>
      </c>
    </row>
    <row r="174" spans="1:17">
      <c r="A174" t="s">
        <v>199</v>
      </c>
      <c r="B174" t="s">
        <v>18</v>
      </c>
      <c r="C174" t="s">
        <v>19</v>
      </c>
      <c r="D174" s="1">
        <v>2</v>
      </c>
      <c r="E174" t="s">
        <v>20</v>
      </c>
      <c r="F174" t="s">
        <v>21</v>
      </c>
      <c r="G174">
        <v>5225</v>
      </c>
      <c r="H174">
        <v>0</v>
      </c>
      <c r="I174">
        <v>110</v>
      </c>
      <c r="J174">
        <v>360</v>
      </c>
      <c r="K174">
        <v>1</v>
      </c>
      <c r="L174" t="s">
        <v>33</v>
      </c>
      <c r="M174">
        <f>Table1[[#This Row],[ApplicantIncome]]+Table1[[#This Row],[CoapplicantIncome]]</f>
        <v>5225</v>
      </c>
      <c r="N174">
        <f>Table1[[#This Row],[LoanAmount]] /Table1[[#This Row],[Total_Income ]]</f>
        <v>2.1052631578947368E-2</v>
      </c>
      <c r="O174">
        <f>Table1[[#This Row],[LoanAmount]]/Table1[[#This Row],[Loan_Amount_Term]]</f>
        <v>0.30555555555555558</v>
      </c>
      <c r="P174">
        <f>IF(Table1[[#This Row],[Total_Income ]]&gt;=AVERAGE(Table1[[#This Row],[Total_Income ]]),1,0)</f>
        <v>1</v>
      </c>
      <c r="Q174">
        <f>IF(Table1[[#This Row],[LoanAmount]]&gt;=AVERAGE(Table1[[#This Row],[LoanAmount]]),1,0)</f>
        <v>1</v>
      </c>
    </row>
    <row r="175" spans="1:17">
      <c r="A175" t="s">
        <v>200</v>
      </c>
      <c r="B175" t="s">
        <v>30</v>
      </c>
      <c r="C175" t="s">
        <v>21</v>
      </c>
      <c r="D175" s="1">
        <v>0</v>
      </c>
      <c r="E175" t="s">
        <v>20</v>
      </c>
      <c r="F175" t="s">
        <v>21</v>
      </c>
      <c r="G175">
        <v>3017</v>
      </c>
      <c r="H175">
        <v>2845</v>
      </c>
      <c r="I175">
        <v>160</v>
      </c>
      <c r="J175">
        <v>360</v>
      </c>
      <c r="K175">
        <v>1</v>
      </c>
      <c r="L175" t="s">
        <v>22</v>
      </c>
      <c r="M175">
        <f>Table1[[#This Row],[ApplicantIncome]]+Table1[[#This Row],[CoapplicantIncome]]</f>
        <v>5862</v>
      </c>
      <c r="N175">
        <f>Table1[[#This Row],[LoanAmount]] /Table1[[#This Row],[Total_Income ]]</f>
        <v>2.7294438758103036E-2</v>
      </c>
      <c r="O175">
        <f>Table1[[#This Row],[LoanAmount]]/Table1[[#This Row],[Loan_Amount_Term]]</f>
        <v>0.44444444444444442</v>
      </c>
      <c r="P175">
        <f>IF(Table1[[#This Row],[Total_Income ]]&gt;=AVERAGE(Table1[[#This Row],[Total_Income ]]),1,0)</f>
        <v>1</v>
      </c>
      <c r="Q175">
        <f>IF(Table1[[#This Row],[LoanAmount]]&gt;=AVERAGE(Table1[[#This Row],[LoanAmount]]),1,0)</f>
        <v>1</v>
      </c>
    </row>
    <row r="176" spans="1:17">
      <c r="A176" t="s">
        <v>201</v>
      </c>
      <c r="B176" t="s">
        <v>18</v>
      </c>
      <c r="C176" t="s">
        <v>19</v>
      </c>
      <c r="D176" s="1">
        <v>2</v>
      </c>
      <c r="E176" t="s">
        <v>27</v>
      </c>
      <c r="F176" t="s">
        <v>21</v>
      </c>
      <c r="G176">
        <v>2431</v>
      </c>
      <c r="H176">
        <v>1820</v>
      </c>
      <c r="I176">
        <v>131</v>
      </c>
      <c r="J176">
        <v>360</v>
      </c>
      <c r="K176">
        <v>1</v>
      </c>
      <c r="L176" t="s">
        <v>33</v>
      </c>
      <c r="M176">
        <f>Table1[[#This Row],[ApplicantIncome]]+Table1[[#This Row],[CoapplicantIncome]]</f>
        <v>4251</v>
      </c>
      <c r="N176">
        <f>Table1[[#This Row],[LoanAmount]] /Table1[[#This Row],[Total_Income ]]</f>
        <v>3.0816278522700542E-2</v>
      </c>
      <c r="O176">
        <f>Table1[[#This Row],[LoanAmount]]/Table1[[#This Row],[Loan_Amount_Term]]</f>
        <v>0.36388888888888887</v>
      </c>
      <c r="P176">
        <f>IF(Table1[[#This Row],[Total_Income ]]&gt;=AVERAGE(Table1[[#This Row],[Total_Income ]]),1,0)</f>
        <v>1</v>
      </c>
      <c r="Q176">
        <f>IF(Table1[[#This Row],[LoanAmount]]&gt;=AVERAGE(Table1[[#This Row],[LoanAmount]]),1,0)</f>
        <v>1</v>
      </c>
    </row>
    <row r="177" spans="1:17">
      <c r="A177" t="s">
        <v>202</v>
      </c>
      <c r="B177" t="s">
        <v>18</v>
      </c>
      <c r="C177" t="s">
        <v>19</v>
      </c>
      <c r="D177" s="1" t="s">
        <v>39</v>
      </c>
      <c r="E177" t="s">
        <v>20</v>
      </c>
      <c r="F177" t="s">
        <v>21</v>
      </c>
      <c r="G177">
        <v>4912</v>
      </c>
      <c r="H177">
        <v>4614</v>
      </c>
      <c r="I177">
        <v>65</v>
      </c>
      <c r="J177">
        <v>360</v>
      </c>
      <c r="K177">
        <v>1</v>
      </c>
      <c r="L177" t="s">
        <v>33</v>
      </c>
      <c r="M177">
        <f>Table1[[#This Row],[ApplicantIncome]]+Table1[[#This Row],[CoapplicantIncome]]</f>
        <v>9526</v>
      </c>
      <c r="N177">
        <f>Table1[[#This Row],[LoanAmount]] /Table1[[#This Row],[Total_Income ]]</f>
        <v>6.8234306109594793E-3</v>
      </c>
      <c r="O177">
        <f>Table1[[#This Row],[LoanAmount]]/Table1[[#This Row],[Loan_Amount_Term]]</f>
        <v>0.18055555555555555</v>
      </c>
      <c r="P177">
        <f>IF(Table1[[#This Row],[Total_Income ]]&gt;=AVERAGE(Table1[[#This Row],[Total_Income ]]),1,0)</f>
        <v>1</v>
      </c>
      <c r="Q177">
        <f>IF(Table1[[#This Row],[LoanAmount]]&gt;=AVERAGE(Table1[[#This Row],[LoanAmount]]),1,0)</f>
        <v>1</v>
      </c>
    </row>
    <row r="178" spans="1:17">
      <c r="A178" t="s">
        <v>203</v>
      </c>
      <c r="B178" t="s">
        <v>18</v>
      </c>
      <c r="C178" t="s">
        <v>19</v>
      </c>
      <c r="D178" s="1">
        <v>2</v>
      </c>
      <c r="E178" t="s">
        <v>27</v>
      </c>
      <c r="F178" t="s">
        <v>21</v>
      </c>
      <c r="G178">
        <v>2500</v>
      </c>
      <c r="H178">
        <v>3333</v>
      </c>
      <c r="I178">
        <v>143</v>
      </c>
      <c r="J178">
        <v>360</v>
      </c>
      <c r="K178">
        <v>1</v>
      </c>
      <c r="L178" t="s">
        <v>22</v>
      </c>
      <c r="M178">
        <f>Table1[[#This Row],[ApplicantIncome]]+Table1[[#This Row],[CoapplicantIncome]]</f>
        <v>5833</v>
      </c>
      <c r="N178">
        <f>Table1[[#This Row],[LoanAmount]] /Table1[[#This Row],[Total_Income ]]</f>
        <v>2.4515686610663466E-2</v>
      </c>
      <c r="O178">
        <f>Table1[[#This Row],[LoanAmount]]/Table1[[#This Row],[Loan_Amount_Term]]</f>
        <v>0.3972222222222222</v>
      </c>
      <c r="P178">
        <f>IF(Table1[[#This Row],[Total_Income ]]&gt;=AVERAGE(Table1[[#This Row],[Total_Income ]]),1,0)</f>
        <v>1</v>
      </c>
      <c r="Q178">
        <f>IF(Table1[[#This Row],[LoanAmount]]&gt;=AVERAGE(Table1[[#This Row],[LoanAmount]]),1,0)</f>
        <v>1</v>
      </c>
    </row>
    <row r="179" spans="1:17">
      <c r="A179" t="s">
        <v>204</v>
      </c>
      <c r="B179" t="s">
        <v>18</v>
      </c>
      <c r="C179" t="s">
        <v>21</v>
      </c>
      <c r="D179" s="1">
        <v>0</v>
      </c>
      <c r="E179" t="s">
        <v>20</v>
      </c>
      <c r="F179" t="s">
        <v>21</v>
      </c>
      <c r="G179">
        <v>2918</v>
      </c>
      <c r="H179">
        <v>0</v>
      </c>
      <c r="I179">
        <v>187</v>
      </c>
      <c r="J179">
        <v>360</v>
      </c>
      <c r="K179">
        <v>0</v>
      </c>
      <c r="L179" t="s">
        <v>33</v>
      </c>
      <c r="M179">
        <f>Table1[[#This Row],[ApplicantIncome]]+Table1[[#This Row],[CoapplicantIncome]]</f>
        <v>2918</v>
      </c>
      <c r="N179">
        <f>Table1[[#This Row],[LoanAmount]] /Table1[[#This Row],[Total_Income ]]</f>
        <v>6.4084989718985602E-2</v>
      </c>
      <c r="O179">
        <f>Table1[[#This Row],[LoanAmount]]/Table1[[#This Row],[Loan_Amount_Term]]</f>
        <v>0.51944444444444449</v>
      </c>
      <c r="P179">
        <f>IF(Table1[[#This Row],[Total_Income ]]&gt;=AVERAGE(Table1[[#This Row],[Total_Income ]]),1,0)</f>
        <v>1</v>
      </c>
      <c r="Q179">
        <f>IF(Table1[[#This Row],[LoanAmount]]&gt;=AVERAGE(Table1[[#This Row],[LoanAmount]]),1,0)</f>
        <v>1</v>
      </c>
    </row>
    <row r="180" spans="1:17">
      <c r="A180" t="s">
        <v>205</v>
      </c>
      <c r="B180" t="s">
        <v>18</v>
      </c>
      <c r="C180" t="s">
        <v>19</v>
      </c>
      <c r="D180" s="1">
        <v>2</v>
      </c>
      <c r="E180" t="s">
        <v>20</v>
      </c>
      <c r="F180" t="s">
        <v>21</v>
      </c>
      <c r="G180">
        <v>5128</v>
      </c>
      <c r="H180">
        <v>0</v>
      </c>
      <c r="I180">
        <v>160</v>
      </c>
      <c r="J180">
        <v>360</v>
      </c>
      <c r="K180">
        <v>0</v>
      </c>
      <c r="L180" t="s">
        <v>33</v>
      </c>
      <c r="M180">
        <f>Table1[[#This Row],[ApplicantIncome]]+Table1[[#This Row],[CoapplicantIncome]]</f>
        <v>5128</v>
      </c>
      <c r="N180">
        <f>Table1[[#This Row],[LoanAmount]] /Table1[[#This Row],[Total_Income ]]</f>
        <v>3.1201248049921998E-2</v>
      </c>
      <c r="O180">
        <f>Table1[[#This Row],[LoanAmount]]/Table1[[#This Row],[Loan_Amount_Term]]</f>
        <v>0.44444444444444442</v>
      </c>
      <c r="P180">
        <f>IF(Table1[[#This Row],[Total_Income ]]&gt;=AVERAGE(Table1[[#This Row],[Total_Income ]]),1,0)</f>
        <v>1</v>
      </c>
      <c r="Q180">
        <f>IF(Table1[[#This Row],[LoanAmount]]&gt;=AVERAGE(Table1[[#This Row],[LoanAmount]]),1,0)</f>
        <v>1</v>
      </c>
    </row>
    <row r="181" spans="1:17">
      <c r="A181" t="s">
        <v>206</v>
      </c>
      <c r="B181" t="s">
        <v>30</v>
      </c>
      <c r="C181" t="s">
        <v>19</v>
      </c>
      <c r="D181" s="1">
        <v>1</v>
      </c>
      <c r="E181" t="s">
        <v>20</v>
      </c>
      <c r="F181" t="s">
        <v>21</v>
      </c>
      <c r="G181">
        <v>15312</v>
      </c>
      <c r="H181">
        <v>0</v>
      </c>
      <c r="I181">
        <v>165</v>
      </c>
      <c r="J181">
        <v>360</v>
      </c>
      <c r="K181">
        <v>1</v>
      </c>
      <c r="L181" t="s">
        <v>22</v>
      </c>
      <c r="M181">
        <f>Table1[[#This Row],[ApplicantIncome]]+Table1[[#This Row],[CoapplicantIncome]]</f>
        <v>15312</v>
      </c>
      <c r="N181">
        <f>Table1[[#This Row],[LoanAmount]] /Table1[[#This Row],[Total_Income ]]</f>
        <v>1.0775862068965518E-2</v>
      </c>
      <c r="O181">
        <f>Table1[[#This Row],[LoanAmount]]/Table1[[#This Row],[Loan_Amount_Term]]</f>
        <v>0.45833333333333331</v>
      </c>
      <c r="P181">
        <f>IF(Table1[[#This Row],[Total_Income ]]&gt;=AVERAGE(Table1[[#This Row],[Total_Income ]]),1,0)</f>
        <v>1</v>
      </c>
      <c r="Q181">
        <f>IF(Table1[[#This Row],[LoanAmount]]&gt;=AVERAGE(Table1[[#This Row],[LoanAmount]]),1,0)</f>
        <v>1</v>
      </c>
    </row>
    <row r="182" spans="1:17">
      <c r="A182" t="s">
        <v>207</v>
      </c>
      <c r="B182" t="s">
        <v>18</v>
      </c>
      <c r="C182" t="s">
        <v>19</v>
      </c>
      <c r="D182" s="1" t="s">
        <v>39</v>
      </c>
      <c r="E182" t="s">
        <v>20</v>
      </c>
      <c r="F182" t="s">
        <v>21</v>
      </c>
      <c r="G182">
        <v>3958</v>
      </c>
      <c r="H182">
        <v>2632</v>
      </c>
      <c r="I182">
        <v>110</v>
      </c>
      <c r="J182">
        <v>360</v>
      </c>
      <c r="K182">
        <v>1</v>
      </c>
      <c r="L182" t="s">
        <v>31</v>
      </c>
      <c r="M182">
        <f>Table1[[#This Row],[ApplicantIncome]]+Table1[[#This Row],[CoapplicantIncome]]</f>
        <v>6590</v>
      </c>
      <c r="N182">
        <f>Table1[[#This Row],[LoanAmount]] /Table1[[#This Row],[Total_Income ]]</f>
        <v>1.6691957511380879E-2</v>
      </c>
      <c r="O182">
        <f>Table1[[#This Row],[LoanAmount]]/Table1[[#This Row],[Loan_Amount_Term]]</f>
        <v>0.30555555555555558</v>
      </c>
      <c r="P182">
        <f>IF(Table1[[#This Row],[Total_Income ]]&gt;=AVERAGE(Table1[[#This Row],[Total_Income ]]),1,0)</f>
        <v>1</v>
      </c>
      <c r="Q182">
        <f>IF(Table1[[#This Row],[LoanAmount]]&gt;=AVERAGE(Table1[[#This Row],[LoanAmount]]),1,0)</f>
        <v>1</v>
      </c>
    </row>
    <row r="183" spans="1:17">
      <c r="A183" t="s">
        <v>208</v>
      </c>
      <c r="B183" t="s">
        <v>18</v>
      </c>
      <c r="C183" t="s">
        <v>19</v>
      </c>
      <c r="D183" s="1">
        <v>0</v>
      </c>
      <c r="E183" t="s">
        <v>20</v>
      </c>
      <c r="F183" t="s">
        <v>21</v>
      </c>
      <c r="G183">
        <v>4334</v>
      </c>
      <c r="H183">
        <v>2945</v>
      </c>
      <c r="I183">
        <v>173</v>
      </c>
      <c r="J183">
        <v>360</v>
      </c>
      <c r="K183">
        <v>0</v>
      </c>
      <c r="L183" t="s">
        <v>31</v>
      </c>
      <c r="M183">
        <f>Table1[[#This Row],[ApplicantIncome]]+Table1[[#This Row],[CoapplicantIncome]]</f>
        <v>7279</v>
      </c>
      <c r="N183">
        <f>Table1[[#This Row],[LoanAmount]] /Table1[[#This Row],[Total_Income ]]</f>
        <v>2.3767000961670559E-2</v>
      </c>
      <c r="O183">
        <f>Table1[[#This Row],[LoanAmount]]/Table1[[#This Row],[Loan_Amount_Term]]</f>
        <v>0.48055555555555557</v>
      </c>
      <c r="P183">
        <f>IF(Table1[[#This Row],[Total_Income ]]&gt;=AVERAGE(Table1[[#This Row],[Total_Income ]]),1,0)</f>
        <v>1</v>
      </c>
      <c r="Q183">
        <f>IF(Table1[[#This Row],[LoanAmount]]&gt;=AVERAGE(Table1[[#This Row],[LoanAmount]]),1,0)</f>
        <v>1</v>
      </c>
    </row>
    <row r="184" spans="1:17">
      <c r="A184" t="s">
        <v>209</v>
      </c>
      <c r="B184" t="s">
        <v>18</v>
      </c>
      <c r="C184" t="s">
        <v>19</v>
      </c>
      <c r="D184" s="1">
        <v>2</v>
      </c>
      <c r="E184" t="s">
        <v>20</v>
      </c>
      <c r="F184" t="s">
        <v>21</v>
      </c>
      <c r="G184">
        <v>4358</v>
      </c>
      <c r="H184">
        <v>0</v>
      </c>
      <c r="I184">
        <v>150</v>
      </c>
      <c r="J184">
        <v>360</v>
      </c>
      <c r="K184">
        <v>1</v>
      </c>
      <c r="L184" t="s">
        <v>22</v>
      </c>
      <c r="M184">
        <f>Table1[[#This Row],[ApplicantIncome]]+Table1[[#This Row],[CoapplicantIncome]]</f>
        <v>4358</v>
      </c>
      <c r="N184">
        <f>Table1[[#This Row],[LoanAmount]] /Table1[[#This Row],[Total_Income ]]</f>
        <v>3.4419458467186782E-2</v>
      </c>
      <c r="O184">
        <f>Table1[[#This Row],[LoanAmount]]/Table1[[#This Row],[Loan_Amount_Term]]</f>
        <v>0.41666666666666669</v>
      </c>
      <c r="P184">
        <f>IF(Table1[[#This Row],[Total_Income ]]&gt;=AVERAGE(Table1[[#This Row],[Total_Income ]]),1,0)</f>
        <v>1</v>
      </c>
      <c r="Q184">
        <f>IF(Table1[[#This Row],[LoanAmount]]&gt;=AVERAGE(Table1[[#This Row],[LoanAmount]]),1,0)</f>
        <v>1</v>
      </c>
    </row>
    <row r="185" spans="1:17">
      <c r="A185" t="s">
        <v>210</v>
      </c>
      <c r="B185" t="s">
        <v>18</v>
      </c>
      <c r="C185" t="s">
        <v>19</v>
      </c>
      <c r="D185" s="1">
        <v>2</v>
      </c>
      <c r="E185" t="s">
        <v>20</v>
      </c>
      <c r="F185" t="s">
        <v>21</v>
      </c>
      <c r="G185">
        <v>4000</v>
      </c>
      <c r="H185">
        <v>3917</v>
      </c>
      <c r="I185">
        <v>135</v>
      </c>
      <c r="J185">
        <v>360</v>
      </c>
      <c r="K185">
        <v>0</v>
      </c>
      <c r="L185" t="s">
        <v>33</v>
      </c>
      <c r="M185">
        <f>Table1[[#This Row],[ApplicantIncome]]+Table1[[#This Row],[CoapplicantIncome]]</f>
        <v>7917</v>
      </c>
      <c r="N185">
        <f>Table1[[#This Row],[LoanAmount]] /Table1[[#This Row],[Total_Income ]]</f>
        <v>1.7051913603637742E-2</v>
      </c>
      <c r="O185">
        <f>Table1[[#This Row],[LoanAmount]]/Table1[[#This Row],[Loan_Amount_Term]]</f>
        <v>0.375</v>
      </c>
      <c r="P185">
        <f>IF(Table1[[#This Row],[Total_Income ]]&gt;=AVERAGE(Table1[[#This Row],[Total_Income ]]),1,0)</f>
        <v>1</v>
      </c>
      <c r="Q185">
        <f>IF(Table1[[#This Row],[LoanAmount]]&gt;=AVERAGE(Table1[[#This Row],[LoanAmount]]),1,0)</f>
        <v>1</v>
      </c>
    </row>
    <row r="186" spans="1:17">
      <c r="A186" t="s">
        <v>211</v>
      </c>
      <c r="B186" t="s">
        <v>18</v>
      </c>
      <c r="C186" t="s">
        <v>19</v>
      </c>
      <c r="D186" s="1">
        <v>0</v>
      </c>
      <c r="E186" t="s">
        <v>20</v>
      </c>
      <c r="F186" t="s">
        <v>19</v>
      </c>
      <c r="G186">
        <v>10166</v>
      </c>
      <c r="H186">
        <v>750</v>
      </c>
      <c r="I186">
        <v>150</v>
      </c>
      <c r="J186">
        <v>360</v>
      </c>
      <c r="K186">
        <v>1</v>
      </c>
      <c r="L186" t="s">
        <v>22</v>
      </c>
      <c r="M186">
        <f>Table1[[#This Row],[ApplicantIncome]]+Table1[[#This Row],[CoapplicantIncome]]</f>
        <v>10916</v>
      </c>
      <c r="N186">
        <f>Table1[[#This Row],[LoanAmount]] /Table1[[#This Row],[Total_Income ]]</f>
        <v>1.3741297178453645E-2</v>
      </c>
      <c r="O186">
        <f>Table1[[#This Row],[LoanAmount]]/Table1[[#This Row],[Loan_Amount_Term]]</f>
        <v>0.41666666666666669</v>
      </c>
      <c r="P186">
        <f>IF(Table1[[#This Row],[Total_Income ]]&gt;=AVERAGE(Table1[[#This Row],[Total_Income ]]),1,0)</f>
        <v>1</v>
      </c>
      <c r="Q186">
        <f>IF(Table1[[#This Row],[LoanAmount]]&gt;=AVERAGE(Table1[[#This Row],[LoanAmount]]),1,0)</f>
        <v>1</v>
      </c>
    </row>
    <row r="187" spans="1:17">
      <c r="A187" t="s">
        <v>212</v>
      </c>
      <c r="B187" t="s">
        <v>18</v>
      </c>
      <c r="C187" t="s">
        <v>19</v>
      </c>
      <c r="D187" s="1">
        <v>2</v>
      </c>
      <c r="E187" t="s">
        <v>27</v>
      </c>
      <c r="F187" t="s">
        <v>21</v>
      </c>
      <c r="G187">
        <v>4483</v>
      </c>
      <c r="H187">
        <v>0</v>
      </c>
      <c r="I187">
        <v>235</v>
      </c>
      <c r="J187">
        <v>84</v>
      </c>
      <c r="K187">
        <v>1</v>
      </c>
      <c r="L187" t="s">
        <v>31</v>
      </c>
      <c r="M187">
        <f>Table1[[#This Row],[ApplicantIncome]]+Table1[[#This Row],[CoapplicantIncome]]</f>
        <v>4483</v>
      </c>
      <c r="N187">
        <f>Table1[[#This Row],[LoanAmount]] /Table1[[#This Row],[Total_Income ]]</f>
        <v>5.2420254293999553E-2</v>
      </c>
      <c r="O187">
        <f>Table1[[#This Row],[LoanAmount]]/Table1[[#This Row],[Loan_Amount_Term]]</f>
        <v>2.7976190476190474</v>
      </c>
      <c r="P187">
        <f>IF(Table1[[#This Row],[Total_Income ]]&gt;=AVERAGE(Table1[[#This Row],[Total_Income ]]),1,0)</f>
        <v>1</v>
      </c>
      <c r="Q187">
        <f>IF(Table1[[#This Row],[LoanAmount]]&gt;=AVERAGE(Table1[[#This Row],[LoanAmount]]),1,0)</f>
        <v>1</v>
      </c>
    </row>
    <row r="188" spans="1:17">
      <c r="A188" t="s">
        <v>213</v>
      </c>
      <c r="B188" t="s">
        <v>30</v>
      </c>
      <c r="C188" t="s">
        <v>19</v>
      </c>
      <c r="D188" s="1">
        <v>1</v>
      </c>
      <c r="E188" t="s">
        <v>27</v>
      </c>
      <c r="F188" t="s">
        <v>21</v>
      </c>
      <c r="G188">
        <v>4521</v>
      </c>
      <c r="H188">
        <v>1184</v>
      </c>
      <c r="I188">
        <v>336</v>
      </c>
      <c r="J188">
        <v>360</v>
      </c>
      <c r="K188">
        <v>1</v>
      </c>
      <c r="L188" t="s">
        <v>31</v>
      </c>
      <c r="M188">
        <f>Table1[[#This Row],[ApplicantIncome]]+Table1[[#This Row],[CoapplicantIncome]]</f>
        <v>5705</v>
      </c>
      <c r="N188">
        <f>Table1[[#This Row],[LoanAmount]] /Table1[[#This Row],[Total_Income ]]</f>
        <v>5.8895705521472393E-2</v>
      </c>
      <c r="O188">
        <f>Table1[[#This Row],[LoanAmount]]/Table1[[#This Row],[Loan_Amount_Term]]</f>
        <v>0.93333333333333335</v>
      </c>
      <c r="P188">
        <f>IF(Table1[[#This Row],[Total_Income ]]&gt;=AVERAGE(Table1[[#This Row],[Total_Income ]]),1,0)</f>
        <v>1</v>
      </c>
      <c r="Q188">
        <f>IF(Table1[[#This Row],[LoanAmount]]&gt;=AVERAGE(Table1[[#This Row],[LoanAmount]]),1,0)</f>
        <v>1</v>
      </c>
    </row>
    <row r="189" spans="1:17">
      <c r="A189" t="s">
        <v>214</v>
      </c>
      <c r="B189" t="s">
        <v>18</v>
      </c>
      <c r="C189" t="s">
        <v>19</v>
      </c>
      <c r="D189" s="1">
        <v>0</v>
      </c>
      <c r="E189" t="s">
        <v>20</v>
      </c>
      <c r="F189" t="s">
        <v>21</v>
      </c>
      <c r="G189">
        <v>9167</v>
      </c>
      <c r="H189">
        <v>0</v>
      </c>
      <c r="I189">
        <v>132</v>
      </c>
      <c r="J189">
        <v>360</v>
      </c>
      <c r="K189">
        <v>1</v>
      </c>
      <c r="L189" t="s">
        <v>31</v>
      </c>
      <c r="M189">
        <f>Table1[[#This Row],[ApplicantIncome]]+Table1[[#This Row],[CoapplicantIncome]]</f>
        <v>9167</v>
      </c>
      <c r="N189">
        <f>Table1[[#This Row],[LoanAmount]] /Table1[[#This Row],[Total_Income ]]</f>
        <v>1.4399476382676994E-2</v>
      </c>
      <c r="O189">
        <f>Table1[[#This Row],[LoanAmount]]/Table1[[#This Row],[Loan_Amount_Term]]</f>
        <v>0.36666666666666664</v>
      </c>
      <c r="P189">
        <f>IF(Table1[[#This Row],[Total_Income ]]&gt;=AVERAGE(Table1[[#This Row],[Total_Income ]]),1,0)</f>
        <v>1</v>
      </c>
      <c r="Q189">
        <f>IF(Table1[[#This Row],[LoanAmount]]&gt;=AVERAGE(Table1[[#This Row],[LoanAmount]]),1,0)</f>
        <v>1</v>
      </c>
    </row>
    <row r="190" spans="1:17">
      <c r="A190" t="s">
        <v>215</v>
      </c>
      <c r="B190" t="s">
        <v>18</v>
      </c>
      <c r="C190" t="s">
        <v>19</v>
      </c>
      <c r="D190" s="1">
        <v>2</v>
      </c>
      <c r="E190" t="s">
        <v>27</v>
      </c>
      <c r="F190" t="s">
        <v>19</v>
      </c>
      <c r="G190">
        <v>13083</v>
      </c>
      <c r="H190">
        <v>0</v>
      </c>
      <c r="I190">
        <v>96</v>
      </c>
      <c r="J190">
        <v>360</v>
      </c>
      <c r="K190">
        <v>1</v>
      </c>
      <c r="L190" t="s">
        <v>33</v>
      </c>
      <c r="M190">
        <f>Table1[[#This Row],[ApplicantIncome]]+Table1[[#This Row],[CoapplicantIncome]]</f>
        <v>13083</v>
      </c>
      <c r="N190">
        <f>Table1[[#This Row],[LoanAmount]] /Table1[[#This Row],[Total_Income ]]</f>
        <v>7.3377665673010775E-3</v>
      </c>
      <c r="O190">
        <f>Table1[[#This Row],[LoanAmount]]/Table1[[#This Row],[Loan_Amount_Term]]</f>
        <v>0.26666666666666666</v>
      </c>
      <c r="P190">
        <f>IF(Table1[[#This Row],[Total_Income ]]&gt;=AVERAGE(Table1[[#This Row],[Total_Income ]]),1,0)</f>
        <v>1</v>
      </c>
      <c r="Q190">
        <f>IF(Table1[[#This Row],[LoanAmount]]&gt;=AVERAGE(Table1[[#This Row],[LoanAmount]]),1,0)</f>
        <v>1</v>
      </c>
    </row>
    <row r="191" spans="1:17">
      <c r="A191" t="s">
        <v>216</v>
      </c>
      <c r="B191" t="s">
        <v>18</v>
      </c>
      <c r="C191" t="s">
        <v>19</v>
      </c>
      <c r="D191" s="1" t="s">
        <v>39</v>
      </c>
      <c r="E191" t="s">
        <v>20</v>
      </c>
      <c r="F191" t="s">
        <v>19</v>
      </c>
      <c r="G191">
        <v>7874</v>
      </c>
      <c r="H191">
        <v>3967</v>
      </c>
      <c r="I191">
        <v>180</v>
      </c>
      <c r="J191">
        <v>360</v>
      </c>
      <c r="K191">
        <v>1</v>
      </c>
      <c r="L191" t="s">
        <v>33</v>
      </c>
      <c r="M191">
        <f>Table1[[#This Row],[ApplicantIncome]]+Table1[[#This Row],[CoapplicantIncome]]</f>
        <v>11841</v>
      </c>
      <c r="N191">
        <f>Table1[[#This Row],[LoanAmount]] /Table1[[#This Row],[Total_Income ]]</f>
        <v>1.5201418799087915E-2</v>
      </c>
      <c r="O191">
        <f>Table1[[#This Row],[LoanAmount]]/Table1[[#This Row],[Loan_Amount_Term]]</f>
        <v>0.5</v>
      </c>
      <c r="P191">
        <f>IF(Table1[[#This Row],[Total_Income ]]&gt;=AVERAGE(Table1[[#This Row],[Total_Income ]]),1,0)</f>
        <v>1</v>
      </c>
      <c r="Q191">
        <f>IF(Table1[[#This Row],[LoanAmount]]&gt;=AVERAGE(Table1[[#This Row],[LoanAmount]]),1,0)</f>
        <v>1</v>
      </c>
    </row>
    <row r="192" spans="1:17">
      <c r="A192" t="s">
        <v>217</v>
      </c>
      <c r="B192" t="s">
        <v>18</v>
      </c>
      <c r="C192" t="s">
        <v>19</v>
      </c>
      <c r="D192" s="1">
        <v>1</v>
      </c>
      <c r="E192" t="s">
        <v>20</v>
      </c>
      <c r="F192" t="s">
        <v>21</v>
      </c>
      <c r="G192">
        <v>4333</v>
      </c>
      <c r="H192">
        <v>0</v>
      </c>
      <c r="I192">
        <v>128</v>
      </c>
      <c r="J192">
        <v>360</v>
      </c>
      <c r="K192">
        <v>1</v>
      </c>
      <c r="L192" t="s">
        <v>33</v>
      </c>
      <c r="M192">
        <f>Table1[[#This Row],[ApplicantIncome]]+Table1[[#This Row],[CoapplicantIncome]]</f>
        <v>4333</v>
      </c>
      <c r="N192">
        <f>Table1[[#This Row],[LoanAmount]] /Table1[[#This Row],[Total_Income ]]</f>
        <v>2.9540733902607894E-2</v>
      </c>
      <c r="O192">
        <f>Table1[[#This Row],[LoanAmount]]/Table1[[#This Row],[Loan_Amount_Term]]</f>
        <v>0.35555555555555557</v>
      </c>
      <c r="P192">
        <f>IF(Table1[[#This Row],[Total_Income ]]&gt;=AVERAGE(Table1[[#This Row],[Total_Income ]]),1,0)</f>
        <v>1</v>
      </c>
      <c r="Q192">
        <f>IF(Table1[[#This Row],[LoanAmount]]&gt;=AVERAGE(Table1[[#This Row],[LoanAmount]]),1,0)</f>
        <v>1</v>
      </c>
    </row>
    <row r="193" spans="1:17">
      <c r="A193" t="s">
        <v>218</v>
      </c>
      <c r="B193" t="s">
        <v>18</v>
      </c>
      <c r="C193" t="s">
        <v>21</v>
      </c>
      <c r="D193" s="1">
        <v>0</v>
      </c>
      <c r="E193" t="s">
        <v>20</v>
      </c>
      <c r="F193" t="s">
        <v>21</v>
      </c>
      <c r="G193">
        <v>4083</v>
      </c>
      <c r="H193">
        <v>0</v>
      </c>
      <c r="I193">
        <v>412</v>
      </c>
      <c r="J193">
        <v>360</v>
      </c>
      <c r="K193">
        <v>1</v>
      </c>
      <c r="L193" t="s">
        <v>22</v>
      </c>
      <c r="M193">
        <f>Table1[[#This Row],[ApplicantIncome]]+Table1[[#This Row],[CoapplicantIncome]]</f>
        <v>4083</v>
      </c>
      <c r="N193">
        <f>Table1[[#This Row],[LoanAmount]] /Table1[[#This Row],[Total_Income ]]</f>
        <v>0.10090619642419789</v>
      </c>
      <c r="O193">
        <f>Table1[[#This Row],[LoanAmount]]/Table1[[#This Row],[Loan_Amount_Term]]</f>
        <v>1.1444444444444444</v>
      </c>
      <c r="P193">
        <f>IF(Table1[[#This Row],[Total_Income ]]&gt;=AVERAGE(Table1[[#This Row],[Total_Income ]]),1,0)</f>
        <v>1</v>
      </c>
      <c r="Q193">
        <f>IF(Table1[[#This Row],[LoanAmount]]&gt;=AVERAGE(Table1[[#This Row],[LoanAmount]]),1,0)</f>
        <v>1</v>
      </c>
    </row>
    <row r="194" spans="1:17">
      <c r="A194" t="s">
        <v>219</v>
      </c>
      <c r="B194" t="s">
        <v>18</v>
      </c>
      <c r="C194" t="s">
        <v>19</v>
      </c>
      <c r="D194" s="1">
        <v>1</v>
      </c>
      <c r="E194" t="s">
        <v>27</v>
      </c>
      <c r="F194" t="s">
        <v>21</v>
      </c>
      <c r="G194">
        <v>3785</v>
      </c>
      <c r="H194">
        <v>2912</v>
      </c>
      <c r="I194">
        <v>116</v>
      </c>
      <c r="J194">
        <v>360</v>
      </c>
      <c r="K194">
        <v>1</v>
      </c>
      <c r="L194" t="s">
        <v>33</v>
      </c>
      <c r="M194">
        <f>Table1[[#This Row],[ApplicantIncome]]+Table1[[#This Row],[CoapplicantIncome]]</f>
        <v>6697</v>
      </c>
      <c r="N194">
        <f>Table1[[#This Row],[LoanAmount]] /Table1[[#This Row],[Total_Income ]]</f>
        <v>1.7321188591906823E-2</v>
      </c>
      <c r="O194">
        <f>Table1[[#This Row],[LoanAmount]]/Table1[[#This Row],[Loan_Amount_Term]]</f>
        <v>0.32222222222222224</v>
      </c>
      <c r="P194">
        <f>IF(Table1[[#This Row],[Total_Income ]]&gt;=AVERAGE(Table1[[#This Row],[Total_Income ]]),1,0)</f>
        <v>1</v>
      </c>
      <c r="Q194">
        <f>IF(Table1[[#This Row],[LoanAmount]]&gt;=AVERAGE(Table1[[#This Row],[LoanAmount]]),1,0)</f>
        <v>1</v>
      </c>
    </row>
    <row r="195" spans="1:17">
      <c r="A195" t="s">
        <v>220</v>
      </c>
      <c r="B195" t="s">
        <v>18</v>
      </c>
      <c r="C195" t="s">
        <v>19</v>
      </c>
      <c r="D195" s="1">
        <v>0</v>
      </c>
      <c r="E195" t="s">
        <v>27</v>
      </c>
      <c r="F195" t="s">
        <v>21</v>
      </c>
      <c r="G195">
        <v>2654</v>
      </c>
      <c r="H195">
        <v>1998</v>
      </c>
      <c r="I195">
        <v>114</v>
      </c>
      <c r="J195">
        <v>360</v>
      </c>
      <c r="K195">
        <v>1</v>
      </c>
      <c r="L195" t="s">
        <v>33</v>
      </c>
      <c r="M195">
        <f>Table1[[#This Row],[ApplicantIncome]]+Table1[[#This Row],[CoapplicantIncome]]</f>
        <v>4652</v>
      </c>
      <c r="N195">
        <f>Table1[[#This Row],[LoanAmount]] /Table1[[#This Row],[Total_Income ]]</f>
        <v>2.4505588993981083E-2</v>
      </c>
      <c r="O195">
        <f>Table1[[#This Row],[LoanAmount]]/Table1[[#This Row],[Loan_Amount_Term]]</f>
        <v>0.31666666666666665</v>
      </c>
      <c r="P195">
        <f>IF(Table1[[#This Row],[Total_Income ]]&gt;=AVERAGE(Table1[[#This Row],[Total_Income ]]),1,0)</f>
        <v>1</v>
      </c>
      <c r="Q195">
        <f>IF(Table1[[#This Row],[LoanAmount]]&gt;=AVERAGE(Table1[[#This Row],[LoanAmount]]),1,0)</f>
        <v>1</v>
      </c>
    </row>
    <row r="196" spans="1:17">
      <c r="A196" t="s">
        <v>221</v>
      </c>
      <c r="B196" t="s">
        <v>18</v>
      </c>
      <c r="C196" t="s">
        <v>19</v>
      </c>
      <c r="D196" s="1">
        <v>2</v>
      </c>
      <c r="E196" t="s">
        <v>20</v>
      </c>
      <c r="F196" t="s">
        <v>21</v>
      </c>
      <c r="G196">
        <v>10000</v>
      </c>
      <c r="H196">
        <v>2690</v>
      </c>
      <c r="I196">
        <v>115</v>
      </c>
      <c r="J196">
        <v>360</v>
      </c>
      <c r="K196">
        <v>1</v>
      </c>
      <c r="L196" t="s">
        <v>31</v>
      </c>
      <c r="M196">
        <f>Table1[[#This Row],[ApplicantIncome]]+Table1[[#This Row],[CoapplicantIncome]]</f>
        <v>12690</v>
      </c>
      <c r="N196">
        <f>Table1[[#This Row],[LoanAmount]] /Table1[[#This Row],[Total_Income ]]</f>
        <v>9.0622537431048061E-3</v>
      </c>
      <c r="O196">
        <f>Table1[[#This Row],[LoanAmount]]/Table1[[#This Row],[Loan_Amount_Term]]</f>
        <v>0.31944444444444442</v>
      </c>
      <c r="P196">
        <f>IF(Table1[[#This Row],[Total_Income ]]&gt;=AVERAGE(Table1[[#This Row],[Total_Income ]]),1,0)</f>
        <v>1</v>
      </c>
      <c r="Q196">
        <f>IF(Table1[[#This Row],[LoanAmount]]&gt;=AVERAGE(Table1[[#This Row],[LoanAmount]]),1,0)</f>
        <v>1</v>
      </c>
    </row>
    <row r="197" spans="1:17">
      <c r="A197" t="s">
        <v>222</v>
      </c>
      <c r="B197" t="s">
        <v>18</v>
      </c>
      <c r="C197" t="s">
        <v>21</v>
      </c>
      <c r="D197" s="1">
        <v>0</v>
      </c>
      <c r="E197" t="s">
        <v>20</v>
      </c>
      <c r="F197" t="s">
        <v>21</v>
      </c>
      <c r="G197">
        <v>5833</v>
      </c>
      <c r="H197">
        <v>0</v>
      </c>
      <c r="I197">
        <v>104</v>
      </c>
      <c r="J197">
        <v>480</v>
      </c>
      <c r="K197">
        <v>0</v>
      </c>
      <c r="L197" t="s">
        <v>22</v>
      </c>
      <c r="M197">
        <f>Table1[[#This Row],[ApplicantIncome]]+Table1[[#This Row],[CoapplicantIncome]]</f>
        <v>5833</v>
      </c>
      <c r="N197">
        <f>Table1[[#This Row],[LoanAmount]] /Table1[[#This Row],[Total_Income ]]</f>
        <v>1.7829590262300701E-2</v>
      </c>
      <c r="O197">
        <f>Table1[[#This Row],[LoanAmount]]/Table1[[#This Row],[Loan_Amount_Term]]</f>
        <v>0.21666666666666667</v>
      </c>
      <c r="P197">
        <f>IF(Table1[[#This Row],[Total_Income ]]&gt;=AVERAGE(Table1[[#This Row],[Total_Income ]]),1,0)</f>
        <v>1</v>
      </c>
      <c r="Q197">
        <f>IF(Table1[[#This Row],[LoanAmount]]&gt;=AVERAGE(Table1[[#This Row],[LoanAmount]]),1,0)</f>
        <v>1</v>
      </c>
    </row>
    <row r="198" spans="1:17">
      <c r="A198" t="s">
        <v>223</v>
      </c>
      <c r="B198" t="s">
        <v>18</v>
      </c>
      <c r="C198" t="s">
        <v>19</v>
      </c>
      <c r="D198" s="1">
        <v>0</v>
      </c>
      <c r="E198" t="s">
        <v>20</v>
      </c>
      <c r="F198" t="s">
        <v>21</v>
      </c>
      <c r="G198">
        <v>4796</v>
      </c>
      <c r="H198">
        <v>0</v>
      </c>
      <c r="I198">
        <v>88</v>
      </c>
      <c r="J198">
        <v>360</v>
      </c>
      <c r="K198">
        <v>1</v>
      </c>
      <c r="L198" t="s">
        <v>31</v>
      </c>
      <c r="M198">
        <f>Table1[[#This Row],[ApplicantIncome]]+Table1[[#This Row],[CoapplicantIncome]]</f>
        <v>4796</v>
      </c>
      <c r="N198">
        <f>Table1[[#This Row],[LoanAmount]] /Table1[[#This Row],[Total_Income ]]</f>
        <v>1.834862385321101E-2</v>
      </c>
      <c r="O198">
        <f>Table1[[#This Row],[LoanAmount]]/Table1[[#This Row],[Loan_Amount_Term]]</f>
        <v>0.24444444444444444</v>
      </c>
      <c r="P198">
        <f>IF(Table1[[#This Row],[Total_Income ]]&gt;=AVERAGE(Table1[[#This Row],[Total_Income ]]),1,0)</f>
        <v>1</v>
      </c>
      <c r="Q198">
        <f>IF(Table1[[#This Row],[LoanAmount]]&gt;=AVERAGE(Table1[[#This Row],[LoanAmount]]),1,0)</f>
        <v>1</v>
      </c>
    </row>
    <row r="199" spans="1:17">
      <c r="A199" t="s">
        <v>224</v>
      </c>
      <c r="B199" t="s">
        <v>18</v>
      </c>
      <c r="C199" t="s">
        <v>19</v>
      </c>
      <c r="D199" s="1" t="s">
        <v>39</v>
      </c>
      <c r="E199" t="s">
        <v>27</v>
      </c>
      <c r="F199" t="s">
        <v>21</v>
      </c>
      <c r="G199">
        <v>2000</v>
      </c>
      <c r="H199">
        <v>1600</v>
      </c>
      <c r="I199">
        <v>108</v>
      </c>
      <c r="J199">
        <v>360</v>
      </c>
      <c r="K199">
        <v>1</v>
      </c>
      <c r="L199" t="s">
        <v>33</v>
      </c>
      <c r="M199">
        <f>Table1[[#This Row],[ApplicantIncome]]+Table1[[#This Row],[CoapplicantIncome]]</f>
        <v>3600</v>
      </c>
      <c r="N199">
        <f>Table1[[#This Row],[LoanAmount]] /Table1[[#This Row],[Total_Income ]]</f>
        <v>0.03</v>
      </c>
      <c r="O199">
        <f>Table1[[#This Row],[LoanAmount]]/Table1[[#This Row],[Loan_Amount_Term]]</f>
        <v>0.3</v>
      </c>
      <c r="P199">
        <f>IF(Table1[[#This Row],[Total_Income ]]&gt;=AVERAGE(Table1[[#This Row],[Total_Income ]]),1,0)</f>
        <v>1</v>
      </c>
      <c r="Q199">
        <f>IF(Table1[[#This Row],[LoanAmount]]&gt;=AVERAGE(Table1[[#This Row],[LoanAmount]]),1,0)</f>
        <v>1</v>
      </c>
    </row>
    <row r="200" spans="1:17">
      <c r="A200" t="s">
        <v>225</v>
      </c>
      <c r="B200" t="s">
        <v>18</v>
      </c>
      <c r="C200" t="s">
        <v>19</v>
      </c>
      <c r="D200" s="1">
        <v>0</v>
      </c>
      <c r="E200" t="s">
        <v>20</v>
      </c>
      <c r="F200" t="s">
        <v>21</v>
      </c>
      <c r="G200">
        <v>2540</v>
      </c>
      <c r="H200">
        <v>700</v>
      </c>
      <c r="I200">
        <v>90</v>
      </c>
      <c r="J200">
        <v>360</v>
      </c>
      <c r="K200">
        <v>1</v>
      </c>
      <c r="L200" t="s">
        <v>22</v>
      </c>
      <c r="M200">
        <f>Table1[[#This Row],[ApplicantIncome]]+Table1[[#This Row],[CoapplicantIncome]]</f>
        <v>3240</v>
      </c>
      <c r="N200">
        <f>Table1[[#This Row],[LoanAmount]] /Table1[[#This Row],[Total_Income ]]</f>
        <v>2.7777777777777776E-2</v>
      </c>
      <c r="O200">
        <f>Table1[[#This Row],[LoanAmount]]/Table1[[#This Row],[Loan_Amount_Term]]</f>
        <v>0.25</v>
      </c>
      <c r="P200">
        <f>IF(Table1[[#This Row],[Total_Income ]]&gt;=AVERAGE(Table1[[#This Row],[Total_Income ]]),1,0)</f>
        <v>1</v>
      </c>
      <c r="Q200">
        <f>IF(Table1[[#This Row],[LoanAmount]]&gt;=AVERAGE(Table1[[#This Row],[LoanAmount]]),1,0)</f>
        <v>1</v>
      </c>
    </row>
    <row r="201" spans="1:17">
      <c r="A201" t="s">
        <v>226</v>
      </c>
      <c r="B201" t="s">
        <v>30</v>
      </c>
      <c r="C201" t="s">
        <v>19</v>
      </c>
      <c r="D201" s="1">
        <v>0</v>
      </c>
      <c r="E201" t="s">
        <v>20</v>
      </c>
      <c r="F201" t="s">
        <v>21</v>
      </c>
      <c r="G201">
        <v>1900</v>
      </c>
      <c r="H201">
        <v>1442</v>
      </c>
      <c r="I201">
        <v>100</v>
      </c>
      <c r="J201">
        <v>360</v>
      </c>
      <c r="K201">
        <v>1</v>
      </c>
      <c r="L201" t="s">
        <v>33</v>
      </c>
      <c r="M201">
        <f>Table1[[#This Row],[ApplicantIncome]]+Table1[[#This Row],[CoapplicantIncome]]</f>
        <v>3342</v>
      </c>
      <c r="N201">
        <f>Table1[[#This Row],[LoanAmount]] /Table1[[#This Row],[Total_Income ]]</f>
        <v>2.9922202274087373E-2</v>
      </c>
      <c r="O201">
        <f>Table1[[#This Row],[LoanAmount]]/Table1[[#This Row],[Loan_Amount_Term]]</f>
        <v>0.27777777777777779</v>
      </c>
      <c r="P201">
        <f>IF(Table1[[#This Row],[Total_Income ]]&gt;=AVERAGE(Table1[[#This Row],[Total_Income ]]),1,0)</f>
        <v>1</v>
      </c>
      <c r="Q201">
        <f>IF(Table1[[#This Row],[LoanAmount]]&gt;=AVERAGE(Table1[[#This Row],[LoanAmount]]),1,0)</f>
        <v>1</v>
      </c>
    </row>
    <row r="202" spans="1:17">
      <c r="A202" t="s">
        <v>227</v>
      </c>
      <c r="B202" t="s">
        <v>30</v>
      </c>
      <c r="C202" t="s">
        <v>19</v>
      </c>
      <c r="D202" s="1">
        <v>0</v>
      </c>
      <c r="E202" t="s">
        <v>20</v>
      </c>
      <c r="F202" t="s">
        <v>21</v>
      </c>
      <c r="G202">
        <v>8706</v>
      </c>
      <c r="H202">
        <v>0</v>
      </c>
      <c r="I202">
        <v>108</v>
      </c>
      <c r="J202">
        <v>360</v>
      </c>
      <c r="K202">
        <v>1</v>
      </c>
      <c r="L202" t="s">
        <v>33</v>
      </c>
      <c r="M202">
        <f>Table1[[#This Row],[ApplicantIncome]]+Table1[[#This Row],[CoapplicantIncome]]</f>
        <v>8706</v>
      </c>
      <c r="N202">
        <f>Table1[[#This Row],[LoanAmount]] /Table1[[#This Row],[Total_Income ]]</f>
        <v>1.2405237767057202E-2</v>
      </c>
      <c r="O202">
        <f>Table1[[#This Row],[LoanAmount]]/Table1[[#This Row],[Loan_Amount_Term]]</f>
        <v>0.3</v>
      </c>
      <c r="P202">
        <f>IF(Table1[[#This Row],[Total_Income ]]&gt;=AVERAGE(Table1[[#This Row],[Total_Income ]]),1,0)</f>
        <v>1</v>
      </c>
      <c r="Q202">
        <f>IF(Table1[[#This Row],[LoanAmount]]&gt;=AVERAGE(Table1[[#This Row],[LoanAmount]]),1,0)</f>
        <v>1</v>
      </c>
    </row>
    <row r="203" spans="1:17">
      <c r="A203" t="s">
        <v>228</v>
      </c>
      <c r="B203" t="s">
        <v>18</v>
      </c>
      <c r="C203" t="s">
        <v>19</v>
      </c>
      <c r="D203" s="1">
        <v>1</v>
      </c>
      <c r="E203" t="s">
        <v>27</v>
      </c>
      <c r="F203" t="s">
        <v>19</v>
      </c>
      <c r="G203">
        <v>2855</v>
      </c>
      <c r="H203">
        <v>542</v>
      </c>
      <c r="I203">
        <v>78</v>
      </c>
      <c r="J203">
        <v>360</v>
      </c>
      <c r="K203">
        <v>1</v>
      </c>
      <c r="L203" t="s">
        <v>22</v>
      </c>
      <c r="M203">
        <f>Table1[[#This Row],[ApplicantIncome]]+Table1[[#This Row],[CoapplicantIncome]]</f>
        <v>3397</v>
      </c>
      <c r="N203">
        <f>Table1[[#This Row],[LoanAmount]] /Table1[[#This Row],[Total_Income ]]</f>
        <v>2.2961436561672065E-2</v>
      </c>
      <c r="O203">
        <f>Table1[[#This Row],[LoanAmount]]/Table1[[#This Row],[Loan_Amount_Term]]</f>
        <v>0.21666666666666667</v>
      </c>
      <c r="P203">
        <f>IF(Table1[[#This Row],[Total_Income ]]&gt;=AVERAGE(Table1[[#This Row],[Total_Income ]]),1,0)</f>
        <v>1</v>
      </c>
      <c r="Q203">
        <f>IF(Table1[[#This Row],[LoanAmount]]&gt;=AVERAGE(Table1[[#This Row],[LoanAmount]]),1,0)</f>
        <v>1</v>
      </c>
    </row>
    <row r="204" spans="1:17">
      <c r="A204" t="s">
        <v>229</v>
      </c>
      <c r="B204" t="s">
        <v>18</v>
      </c>
      <c r="C204" t="s">
        <v>19</v>
      </c>
      <c r="D204" s="1">
        <v>1</v>
      </c>
      <c r="E204" t="s">
        <v>20</v>
      </c>
      <c r="F204" t="s">
        <v>21</v>
      </c>
      <c r="G204">
        <v>3016</v>
      </c>
      <c r="H204">
        <v>1300</v>
      </c>
      <c r="I204">
        <v>123</v>
      </c>
      <c r="J204">
        <v>360</v>
      </c>
      <c r="K204">
        <v>1</v>
      </c>
      <c r="L204" t="s">
        <v>22</v>
      </c>
      <c r="M204">
        <f>Table1[[#This Row],[ApplicantIncome]]+Table1[[#This Row],[CoapplicantIncome]]</f>
        <v>4316</v>
      </c>
      <c r="N204">
        <f>Table1[[#This Row],[LoanAmount]] /Table1[[#This Row],[Total_Income ]]</f>
        <v>2.8498609823911027E-2</v>
      </c>
      <c r="O204">
        <f>Table1[[#This Row],[LoanAmount]]/Table1[[#This Row],[Loan_Amount_Term]]</f>
        <v>0.34166666666666667</v>
      </c>
      <c r="P204">
        <f>IF(Table1[[#This Row],[Total_Income ]]&gt;=AVERAGE(Table1[[#This Row],[Total_Income ]]),1,0)</f>
        <v>1</v>
      </c>
      <c r="Q204">
        <f>IF(Table1[[#This Row],[LoanAmount]]&gt;=AVERAGE(Table1[[#This Row],[LoanAmount]]),1,0)</f>
        <v>1</v>
      </c>
    </row>
    <row r="205" spans="1:17">
      <c r="A205" t="s">
        <v>230</v>
      </c>
      <c r="B205" t="s">
        <v>18</v>
      </c>
      <c r="C205" t="s">
        <v>19</v>
      </c>
      <c r="D205" s="1">
        <v>0</v>
      </c>
      <c r="E205" t="s">
        <v>20</v>
      </c>
      <c r="F205" t="s">
        <v>21</v>
      </c>
      <c r="G205">
        <v>3159</v>
      </c>
      <c r="H205">
        <v>2374</v>
      </c>
      <c r="I205">
        <v>187</v>
      </c>
      <c r="J205">
        <v>360</v>
      </c>
      <c r="K205">
        <v>1</v>
      </c>
      <c r="L205" t="s">
        <v>31</v>
      </c>
      <c r="M205">
        <f>Table1[[#This Row],[ApplicantIncome]]+Table1[[#This Row],[CoapplicantIncome]]</f>
        <v>5533</v>
      </c>
      <c r="N205">
        <f>Table1[[#This Row],[LoanAmount]] /Table1[[#This Row],[Total_Income ]]</f>
        <v>3.3797216699801194E-2</v>
      </c>
      <c r="O205">
        <f>Table1[[#This Row],[LoanAmount]]/Table1[[#This Row],[Loan_Amount_Term]]</f>
        <v>0.51944444444444449</v>
      </c>
      <c r="P205">
        <f>IF(Table1[[#This Row],[Total_Income ]]&gt;=AVERAGE(Table1[[#This Row],[Total_Income ]]),1,0)</f>
        <v>1</v>
      </c>
      <c r="Q205">
        <f>IF(Table1[[#This Row],[LoanAmount]]&gt;=AVERAGE(Table1[[#This Row],[LoanAmount]]),1,0)</f>
        <v>1</v>
      </c>
    </row>
    <row r="206" spans="1:17">
      <c r="A206" t="s">
        <v>231</v>
      </c>
      <c r="B206" t="s">
        <v>30</v>
      </c>
      <c r="C206" t="s">
        <v>21</v>
      </c>
      <c r="D206" s="1">
        <v>1</v>
      </c>
      <c r="E206" t="s">
        <v>20</v>
      </c>
      <c r="F206" t="s">
        <v>21</v>
      </c>
      <c r="G206">
        <v>1937</v>
      </c>
      <c r="H206">
        <v>1152</v>
      </c>
      <c r="I206">
        <v>146</v>
      </c>
      <c r="J206">
        <v>360</v>
      </c>
      <c r="K206">
        <v>1</v>
      </c>
      <c r="L206" t="s">
        <v>31</v>
      </c>
      <c r="M206">
        <f>Table1[[#This Row],[ApplicantIncome]]+Table1[[#This Row],[CoapplicantIncome]]</f>
        <v>3089</v>
      </c>
      <c r="N206">
        <f>Table1[[#This Row],[LoanAmount]] /Table1[[#This Row],[Total_Income ]]</f>
        <v>4.726448688896083E-2</v>
      </c>
      <c r="O206">
        <f>Table1[[#This Row],[LoanAmount]]/Table1[[#This Row],[Loan_Amount_Term]]</f>
        <v>0.40555555555555556</v>
      </c>
      <c r="P206">
        <f>IF(Table1[[#This Row],[Total_Income ]]&gt;=AVERAGE(Table1[[#This Row],[Total_Income ]]),1,0)</f>
        <v>1</v>
      </c>
      <c r="Q206">
        <f>IF(Table1[[#This Row],[LoanAmount]]&gt;=AVERAGE(Table1[[#This Row],[LoanAmount]]),1,0)</f>
        <v>1</v>
      </c>
    </row>
    <row r="207" spans="1:17">
      <c r="A207" t="s">
        <v>232</v>
      </c>
      <c r="B207" t="s">
        <v>30</v>
      </c>
      <c r="C207" t="s">
        <v>19</v>
      </c>
      <c r="D207" s="1">
        <v>0</v>
      </c>
      <c r="E207" t="s">
        <v>20</v>
      </c>
      <c r="F207" t="s">
        <v>21</v>
      </c>
      <c r="G207">
        <v>2613</v>
      </c>
      <c r="H207">
        <v>2417</v>
      </c>
      <c r="I207">
        <v>80</v>
      </c>
      <c r="J207">
        <v>360</v>
      </c>
      <c r="K207">
        <v>1</v>
      </c>
      <c r="L207" t="s">
        <v>31</v>
      </c>
      <c r="M207">
        <f>Table1[[#This Row],[ApplicantIncome]]+Table1[[#This Row],[CoapplicantIncome]]</f>
        <v>5030</v>
      </c>
      <c r="N207">
        <f>Table1[[#This Row],[LoanAmount]] /Table1[[#This Row],[Total_Income ]]</f>
        <v>1.5904572564612324E-2</v>
      </c>
      <c r="O207">
        <f>Table1[[#This Row],[LoanAmount]]/Table1[[#This Row],[Loan_Amount_Term]]</f>
        <v>0.22222222222222221</v>
      </c>
      <c r="P207">
        <f>IF(Table1[[#This Row],[Total_Income ]]&gt;=AVERAGE(Table1[[#This Row],[Total_Income ]]),1,0)</f>
        <v>1</v>
      </c>
      <c r="Q207">
        <f>IF(Table1[[#This Row],[LoanAmount]]&gt;=AVERAGE(Table1[[#This Row],[LoanAmount]]),1,0)</f>
        <v>1</v>
      </c>
    </row>
    <row r="208" spans="1:17">
      <c r="A208" t="s">
        <v>233</v>
      </c>
      <c r="B208" t="s">
        <v>18</v>
      </c>
      <c r="C208" t="s">
        <v>19</v>
      </c>
      <c r="D208" s="1">
        <v>0</v>
      </c>
      <c r="E208" t="s">
        <v>20</v>
      </c>
      <c r="F208" t="s">
        <v>21</v>
      </c>
      <c r="G208">
        <v>4960</v>
      </c>
      <c r="H208">
        <v>2600</v>
      </c>
      <c r="I208">
        <v>100</v>
      </c>
      <c r="J208">
        <v>360</v>
      </c>
      <c r="K208">
        <v>1</v>
      </c>
      <c r="L208" t="s">
        <v>31</v>
      </c>
      <c r="M208">
        <f>Table1[[#This Row],[ApplicantIncome]]+Table1[[#This Row],[CoapplicantIncome]]</f>
        <v>7560</v>
      </c>
      <c r="N208">
        <f>Table1[[#This Row],[LoanAmount]] /Table1[[#This Row],[Total_Income ]]</f>
        <v>1.3227513227513227E-2</v>
      </c>
      <c r="O208">
        <f>Table1[[#This Row],[LoanAmount]]/Table1[[#This Row],[Loan_Amount_Term]]</f>
        <v>0.27777777777777779</v>
      </c>
      <c r="P208">
        <f>IF(Table1[[#This Row],[Total_Income ]]&gt;=AVERAGE(Table1[[#This Row],[Total_Income ]]),1,0)</f>
        <v>1</v>
      </c>
      <c r="Q208">
        <f>IF(Table1[[#This Row],[LoanAmount]]&gt;=AVERAGE(Table1[[#This Row],[LoanAmount]]),1,0)</f>
        <v>1</v>
      </c>
    </row>
    <row r="209" spans="1:17">
      <c r="A209" t="s">
        <v>234</v>
      </c>
      <c r="B209" t="s">
        <v>18</v>
      </c>
      <c r="C209" t="s">
        <v>19</v>
      </c>
      <c r="D209" s="1" t="s">
        <v>39</v>
      </c>
      <c r="E209" t="s">
        <v>20</v>
      </c>
      <c r="F209" t="s">
        <v>19</v>
      </c>
      <c r="G209">
        <v>3074</v>
      </c>
      <c r="H209">
        <v>1083</v>
      </c>
      <c r="I209">
        <v>55</v>
      </c>
      <c r="J209">
        <v>360</v>
      </c>
      <c r="K209">
        <v>0</v>
      </c>
      <c r="L209" t="s">
        <v>31</v>
      </c>
      <c r="M209">
        <f>Table1[[#This Row],[ApplicantIncome]]+Table1[[#This Row],[CoapplicantIncome]]</f>
        <v>4157</v>
      </c>
      <c r="N209">
        <f>Table1[[#This Row],[LoanAmount]] /Table1[[#This Row],[Total_Income ]]</f>
        <v>1.3230695212893913E-2</v>
      </c>
      <c r="O209">
        <f>Table1[[#This Row],[LoanAmount]]/Table1[[#This Row],[Loan_Amount_Term]]</f>
        <v>0.15277777777777779</v>
      </c>
      <c r="P209">
        <f>IF(Table1[[#This Row],[Total_Income ]]&gt;=AVERAGE(Table1[[#This Row],[Total_Income ]]),1,0)</f>
        <v>1</v>
      </c>
      <c r="Q209">
        <f>IF(Table1[[#This Row],[LoanAmount]]&gt;=AVERAGE(Table1[[#This Row],[LoanAmount]]),1,0)</f>
        <v>1</v>
      </c>
    </row>
    <row r="210" spans="1:17">
      <c r="A210" t="s">
        <v>235</v>
      </c>
      <c r="B210" t="s">
        <v>18</v>
      </c>
      <c r="C210" t="s">
        <v>21</v>
      </c>
      <c r="D210" s="1">
        <v>0</v>
      </c>
      <c r="E210" t="s">
        <v>20</v>
      </c>
      <c r="F210" t="s">
        <v>21</v>
      </c>
      <c r="G210">
        <v>4213</v>
      </c>
      <c r="H210">
        <v>0</v>
      </c>
      <c r="I210">
        <v>200</v>
      </c>
      <c r="J210">
        <v>360</v>
      </c>
      <c r="K210">
        <v>1</v>
      </c>
      <c r="L210" t="s">
        <v>22</v>
      </c>
      <c r="M210">
        <f>Table1[[#This Row],[ApplicantIncome]]+Table1[[#This Row],[CoapplicantIncome]]</f>
        <v>4213</v>
      </c>
      <c r="N210">
        <f>Table1[[#This Row],[LoanAmount]] /Table1[[#This Row],[Total_Income ]]</f>
        <v>4.7472110135295516E-2</v>
      </c>
      <c r="O210">
        <f>Table1[[#This Row],[LoanAmount]]/Table1[[#This Row],[Loan_Amount_Term]]</f>
        <v>0.55555555555555558</v>
      </c>
      <c r="P210">
        <f>IF(Table1[[#This Row],[Total_Income ]]&gt;=AVERAGE(Table1[[#This Row],[Total_Income ]]),1,0)</f>
        <v>1</v>
      </c>
      <c r="Q210">
        <f>IF(Table1[[#This Row],[LoanAmount]]&gt;=AVERAGE(Table1[[#This Row],[LoanAmount]]),1,0)</f>
        <v>1</v>
      </c>
    </row>
    <row r="211" spans="1:17">
      <c r="A211" t="s">
        <v>236</v>
      </c>
      <c r="B211" t="s">
        <v>18</v>
      </c>
      <c r="C211" t="s">
        <v>21</v>
      </c>
      <c r="D211" s="1">
        <v>0</v>
      </c>
      <c r="E211" t="s">
        <v>27</v>
      </c>
      <c r="F211" t="s">
        <v>21</v>
      </c>
      <c r="G211">
        <v>2038</v>
      </c>
      <c r="H211">
        <v>4027</v>
      </c>
      <c r="I211">
        <v>150</v>
      </c>
      <c r="J211">
        <v>300</v>
      </c>
      <c r="K211">
        <v>1</v>
      </c>
      <c r="L211" t="s">
        <v>33</v>
      </c>
      <c r="M211">
        <f>Table1[[#This Row],[ApplicantIncome]]+Table1[[#This Row],[CoapplicantIncome]]</f>
        <v>6065</v>
      </c>
      <c r="N211">
        <f>Table1[[#This Row],[LoanAmount]] /Table1[[#This Row],[Total_Income ]]</f>
        <v>2.47320692497939E-2</v>
      </c>
      <c r="O211">
        <f>Table1[[#This Row],[LoanAmount]]/Table1[[#This Row],[Loan_Amount_Term]]</f>
        <v>0.5</v>
      </c>
      <c r="P211">
        <f>IF(Table1[[#This Row],[Total_Income ]]&gt;=AVERAGE(Table1[[#This Row],[Total_Income ]]),1,0)</f>
        <v>1</v>
      </c>
      <c r="Q211">
        <f>IF(Table1[[#This Row],[LoanAmount]]&gt;=AVERAGE(Table1[[#This Row],[LoanAmount]]),1,0)</f>
        <v>1</v>
      </c>
    </row>
    <row r="212" spans="1:17">
      <c r="A212" t="s">
        <v>237</v>
      </c>
      <c r="B212" t="s">
        <v>18</v>
      </c>
      <c r="C212" t="s">
        <v>21</v>
      </c>
      <c r="D212" s="1">
        <v>0</v>
      </c>
      <c r="E212" t="s">
        <v>20</v>
      </c>
      <c r="F212" t="s">
        <v>21</v>
      </c>
      <c r="G212">
        <v>2362</v>
      </c>
      <c r="H212">
        <v>0</v>
      </c>
      <c r="I212">
        <v>150</v>
      </c>
      <c r="J212">
        <v>36</v>
      </c>
      <c r="K212">
        <v>1</v>
      </c>
      <c r="L212" t="s">
        <v>22</v>
      </c>
      <c r="M212">
        <f>Table1[[#This Row],[ApplicantIncome]]+Table1[[#This Row],[CoapplicantIncome]]</f>
        <v>2362</v>
      </c>
      <c r="N212">
        <f>Table1[[#This Row],[LoanAmount]] /Table1[[#This Row],[Total_Income ]]</f>
        <v>6.3505503810330224E-2</v>
      </c>
      <c r="O212">
        <f>Table1[[#This Row],[LoanAmount]]/Table1[[#This Row],[Loan_Amount_Term]]</f>
        <v>4.166666666666667</v>
      </c>
      <c r="P212">
        <f>IF(Table1[[#This Row],[Total_Income ]]&gt;=AVERAGE(Table1[[#This Row],[Total_Income ]]),1,0)</f>
        <v>1</v>
      </c>
      <c r="Q212">
        <f>IF(Table1[[#This Row],[LoanAmount]]&gt;=AVERAGE(Table1[[#This Row],[LoanAmount]]),1,0)</f>
        <v>1</v>
      </c>
    </row>
    <row r="213" spans="1:17">
      <c r="A213" t="s">
        <v>238</v>
      </c>
      <c r="B213" t="s">
        <v>18</v>
      </c>
      <c r="C213" t="s">
        <v>21</v>
      </c>
      <c r="D213" s="1">
        <v>0</v>
      </c>
      <c r="E213" t="s">
        <v>20</v>
      </c>
      <c r="F213" t="s">
        <v>21</v>
      </c>
      <c r="G213">
        <v>5333</v>
      </c>
      <c r="H213">
        <v>2400</v>
      </c>
      <c r="I213">
        <v>118</v>
      </c>
      <c r="J213">
        <v>360</v>
      </c>
      <c r="K213">
        <v>1</v>
      </c>
      <c r="L213" t="s">
        <v>33</v>
      </c>
      <c r="M213">
        <f>Table1[[#This Row],[ApplicantIncome]]+Table1[[#This Row],[CoapplicantIncome]]</f>
        <v>7733</v>
      </c>
      <c r="N213">
        <f>Table1[[#This Row],[LoanAmount]] /Table1[[#This Row],[Total_Income ]]</f>
        <v>1.5259278417173155E-2</v>
      </c>
      <c r="O213">
        <f>Table1[[#This Row],[LoanAmount]]/Table1[[#This Row],[Loan_Amount_Term]]</f>
        <v>0.32777777777777778</v>
      </c>
      <c r="P213">
        <f>IF(Table1[[#This Row],[Total_Income ]]&gt;=AVERAGE(Table1[[#This Row],[Total_Income ]]),1,0)</f>
        <v>1</v>
      </c>
      <c r="Q213">
        <f>IF(Table1[[#This Row],[LoanAmount]]&gt;=AVERAGE(Table1[[#This Row],[LoanAmount]]),1,0)</f>
        <v>1</v>
      </c>
    </row>
    <row r="214" spans="1:17">
      <c r="A214" t="s">
        <v>239</v>
      </c>
      <c r="B214" t="s">
        <v>18</v>
      </c>
      <c r="C214" t="s">
        <v>19</v>
      </c>
      <c r="D214" s="1">
        <v>0</v>
      </c>
      <c r="E214" t="s">
        <v>20</v>
      </c>
      <c r="F214" t="s">
        <v>21</v>
      </c>
      <c r="G214">
        <v>5384</v>
      </c>
      <c r="H214">
        <v>0</v>
      </c>
      <c r="I214">
        <v>150</v>
      </c>
      <c r="J214">
        <v>360</v>
      </c>
      <c r="K214">
        <v>0</v>
      </c>
      <c r="L214" t="s">
        <v>31</v>
      </c>
      <c r="M214">
        <f>Table1[[#This Row],[ApplicantIncome]]+Table1[[#This Row],[CoapplicantIncome]]</f>
        <v>5384</v>
      </c>
      <c r="N214">
        <f>Table1[[#This Row],[LoanAmount]] /Table1[[#This Row],[Total_Income ]]</f>
        <v>2.786032689450223E-2</v>
      </c>
      <c r="O214">
        <f>Table1[[#This Row],[LoanAmount]]/Table1[[#This Row],[Loan_Amount_Term]]</f>
        <v>0.41666666666666669</v>
      </c>
      <c r="P214">
        <f>IF(Table1[[#This Row],[Total_Income ]]&gt;=AVERAGE(Table1[[#This Row],[Total_Income ]]),1,0)</f>
        <v>1</v>
      </c>
      <c r="Q214">
        <f>IF(Table1[[#This Row],[LoanAmount]]&gt;=AVERAGE(Table1[[#This Row],[LoanAmount]]),1,0)</f>
        <v>1</v>
      </c>
    </row>
    <row r="215" spans="1:17">
      <c r="A215" t="s">
        <v>240</v>
      </c>
      <c r="B215" t="s">
        <v>18</v>
      </c>
      <c r="C215" t="s">
        <v>21</v>
      </c>
      <c r="D215" s="1">
        <v>1</v>
      </c>
      <c r="E215" t="s">
        <v>20</v>
      </c>
      <c r="F215" t="s">
        <v>19</v>
      </c>
      <c r="G215">
        <v>5708</v>
      </c>
      <c r="H215">
        <v>0</v>
      </c>
      <c r="I215">
        <v>118</v>
      </c>
      <c r="J215">
        <v>360</v>
      </c>
      <c r="K215">
        <v>1</v>
      </c>
      <c r="L215" t="s">
        <v>33</v>
      </c>
      <c r="M215">
        <f>Table1[[#This Row],[ApplicantIncome]]+Table1[[#This Row],[CoapplicantIncome]]</f>
        <v>5708</v>
      </c>
      <c r="N215">
        <f>Table1[[#This Row],[LoanAmount]] /Table1[[#This Row],[Total_Income ]]</f>
        <v>2.0672740014015416E-2</v>
      </c>
      <c r="O215">
        <f>Table1[[#This Row],[LoanAmount]]/Table1[[#This Row],[Loan_Amount_Term]]</f>
        <v>0.32777777777777778</v>
      </c>
      <c r="P215">
        <f>IF(Table1[[#This Row],[Total_Income ]]&gt;=AVERAGE(Table1[[#This Row],[Total_Income ]]),1,0)</f>
        <v>1</v>
      </c>
      <c r="Q215">
        <f>IF(Table1[[#This Row],[LoanAmount]]&gt;=AVERAGE(Table1[[#This Row],[LoanAmount]]),1,0)</f>
        <v>1</v>
      </c>
    </row>
    <row r="216" spans="1:17">
      <c r="A216" t="s">
        <v>241</v>
      </c>
      <c r="B216" t="s">
        <v>18</v>
      </c>
      <c r="C216" t="s">
        <v>19</v>
      </c>
      <c r="D216" s="1">
        <v>1</v>
      </c>
      <c r="E216" t="s">
        <v>27</v>
      </c>
      <c r="F216" t="s">
        <v>21</v>
      </c>
      <c r="G216">
        <v>3754</v>
      </c>
      <c r="H216">
        <v>3719</v>
      </c>
      <c r="I216">
        <v>212</v>
      </c>
      <c r="J216">
        <v>360</v>
      </c>
      <c r="K216">
        <v>1</v>
      </c>
      <c r="L216" t="s">
        <v>33</v>
      </c>
      <c r="M216">
        <f>Table1[[#This Row],[ApplicantIncome]]+Table1[[#This Row],[CoapplicantIncome]]</f>
        <v>7473</v>
      </c>
      <c r="N216">
        <f>Table1[[#This Row],[LoanAmount]] /Table1[[#This Row],[Total_Income ]]</f>
        <v>2.8368794326241134E-2</v>
      </c>
      <c r="O216">
        <f>Table1[[#This Row],[LoanAmount]]/Table1[[#This Row],[Loan_Amount_Term]]</f>
        <v>0.58888888888888891</v>
      </c>
      <c r="P216">
        <f>IF(Table1[[#This Row],[Total_Income ]]&gt;=AVERAGE(Table1[[#This Row],[Total_Income ]]),1,0)</f>
        <v>1</v>
      </c>
      <c r="Q216">
        <f>IF(Table1[[#This Row],[LoanAmount]]&gt;=AVERAGE(Table1[[#This Row],[LoanAmount]]),1,0)</f>
        <v>1</v>
      </c>
    </row>
    <row r="217" spans="1:17">
      <c r="A217" t="s">
        <v>242</v>
      </c>
      <c r="B217" t="s">
        <v>18</v>
      </c>
      <c r="C217" t="s">
        <v>19</v>
      </c>
      <c r="D217" s="1">
        <v>0</v>
      </c>
      <c r="E217" t="s">
        <v>27</v>
      </c>
      <c r="F217" t="s">
        <v>21</v>
      </c>
      <c r="G217">
        <v>2914</v>
      </c>
      <c r="H217">
        <v>2130</v>
      </c>
      <c r="I217">
        <v>212</v>
      </c>
      <c r="J217">
        <v>360</v>
      </c>
      <c r="K217">
        <v>1</v>
      </c>
      <c r="L217" t="s">
        <v>22</v>
      </c>
      <c r="M217">
        <f>Table1[[#This Row],[ApplicantIncome]]+Table1[[#This Row],[CoapplicantIncome]]</f>
        <v>5044</v>
      </c>
      <c r="N217">
        <f>Table1[[#This Row],[LoanAmount]] /Table1[[#This Row],[Total_Income ]]</f>
        <v>4.2030134813639972E-2</v>
      </c>
      <c r="O217">
        <f>Table1[[#This Row],[LoanAmount]]/Table1[[#This Row],[Loan_Amount_Term]]</f>
        <v>0.58888888888888891</v>
      </c>
      <c r="P217">
        <f>IF(Table1[[#This Row],[Total_Income ]]&gt;=AVERAGE(Table1[[#This Row],[Total_Income ]]),1,0)</f>
        <v>1</v>
      </c>
      <c r="Q217">
        <f>IF(Table1[[#This Row],[LoanAmount]]&gt;=AVERAGE(Table1[[#This Row],[LoanAmount]]),1,0)</f>
        <v>1</v>
      </c>
    </row>
    <row r="218" spans="1:17">
      <c r="A218" t="s">
        <v>243</v>
      </c>
      <c r="B218" t="s">
        <v>18</v>
      </c>
      <c r="C218" t="s">
        <v>19</v>
      </c>
      <c r="D218" s="1">
        <v>0</v>
      </c>
      <c r="E218" t="s">
        <v>27</v>
      </c>
      <c r="F218" t="s">
        <v>21</v>
      </c>
      <c r="G218">
        <v>2747</v>
      </c>
      <c r="H218">
        <v>2458</v>
      </c>
      <c r="I218">
        <v>125</v>
      </c>
      <c r="J218">
        <v>480</v>
      </c>
      <c r="K218">
        <v>1</v>
      </c>
      <c r="L218" t="s">
        <v>31</v>
      </c>
      <c r="M218">
        <f>Table1[[#This Row],[ApplicantIncome]]+Table1[[#This Row],[CoapplicantIncome]]</f>
        <v>5205</v>
      </c>
      <c r="N218">
        <f>Table1[[#This Row],[LoanAmount]] /Table1[[#This Row],[Total_Income ]]</f>
        <v>2.4015369836695485E-2</v>
      </c>
      <c r="O218">
        <f>Table1[[#This Row],[LoanAmount]]/Table1[[#This Row],[Loan_Amount_Term]]</f>
        <v>0.26041666666666669</v>
      </c>
      <c r="P218">
        <f>IF(Table1[[#This Row],[Total_Income ]]&gt;=AVERAGE(Table1[[#This Row],[Total_Income ]]),1,0)</f>
        <v>1</v>
      </c>
      <c r="Q218">
        <f>IF(Table1[[#This Row],[LoanAmount]]&gt;=AVERAGE(Table1[[#This Row],[LoanAmount]]),1,0)</f>
        <v>1</v>
      </c>
    </row>
    <row r="219" spans="1:17">
      <c r="A219" t="s">
        <v>244</v>
      </c>
      <c r="B219" t="s">
        <v>18</v>
      </c>
      <c r="C219" t="s">
        <v>19</v>
      </c>
      <c r="D219" s="1">
        <v>2</v>
      </c>
      <c r="E219" t="s">
        <v>20</v>
      </c>
      <c r="F219" t="s">
        <v>21</v>
      </c>
      <c r="G219">
        <v>7830</v>
      </c>
      <c r="H219">
        <v>2183</v>
      </c>
      <c r="I219">
        <v>108</v>
      </c>
      <c r="J219">
        <v>300</v>
      </c>
      <c r="K219">
        <v>1</v>
      </c>
      <c r="L219" t="s">
        <v>33</v>
      </c>
      <c r="M219">
        <f>Table1[[#This Row],[ApplicantIncome]]+Table1[[#This Row],[CoapplicantIncome]]</f>
        <v>10013</v>
      </c>
      <c r="N219">
        <f>Table1[[#This Row],[LoanAmount]] /Table1[[#This Row],[Total_Income ]]</f>
        <v>1.0785978228303206E-2</v>
      </c>
      <c r="O219">
        <f>Table1[[#This Row],[LoanAmount]]/Table1[[#This Row],[Loan_Amount_Term]]</f>
        <v>0.36</v>
      </c>
      <c r="P219">
        <f>IF(Table1[[#This Row],[Total_Income ]]&gt;=AVERAGE(Table1[[#This Row],[Total_Income ]]),1,0)</f>
        <v>1</v>
      </c>
      <c r="Q219">
        <f>IF(Table1[[#This Row],[LoanAmount]]&gt;=AVERAGE(Table1[[#This Row],[LoanAmount]]),1,0)</f>
        <v>1</v>
      </c>
    </row>
    <row r="220" spans="1:17">
      <c r="A220" t="s">
        <v>245</v>
      </c>
      <c r="B220" t="s">
        <v>30</v>
      </c>
      <c r="C220" t="s">
        <v>19</v>
      </c>
      <c r="D220" s="1">
        <v>1</v>
      </c>
      <c r="E220" t="s">
        <v>20</v>
      </c>
      <c r="F220" t="s">
        <v>21</v>
      </c>
      <c r="G220">
        <v>3507</v>
      </c>
      <c r="H220">
        <v>3148</v>
      </c>
      <c r="I220">
        <v>149</v>
      </c>
      <c r="J220">
        <v>360</v>
      </c>
      <c r="K220">
        <v>0</v>
      </c>
      <c r="L220" t="s">
        <v>33</v>
      </c>
      <c r="M220">
        <f>Table1[[#This Row],[ApplicantIncome]]+Table1[[#This Row],[CoapplicantIncome]]</f>
        <v>6655</v>
      </c>
      <c r="N220">
        <f>Table1[[#This Row],[LoanAmount]] /Table1[[#This Row],[Total_Income ]]</f>
        <v>2.2389181066867016E-2</v>
      </c>
      <c r="O220">
        <f>Table1[[#This Row],[LoanAmount]]/Table1[[#This Row],[Loan_Amount_Term]]</f>
        <v>0.41388888888888886</v>
      </c>
      <c r="P220">
        <f>IF(Table1[[#This Row],[Total_Income ]]&gt;=AVERAGE(Table1[[#This Row],[Total_Income ]]),1,0)</f>
        <v>1</v>
      </c>
      <c r="Q220">
        <f>IF(Table1[[#This Row],[LoanAmount]]&gt;=AVERAGE(Table1[[#This Row],[LoanAmount]]),1,0)</f>
        <v>1</v>
      </c>
    </row>
    <row r="221" spans="1:17">
      <c r="A221" t="s">
        <v>246</v>
      </c>
      <c r="B221" t="s">
        <v>30</v>
      </c>
      <c r="C221" t="s">
        <v>19</v>
      </c>
      <c r="D221" s="1">
        <v>2</v>
      </c>
      <c r="E221" t="s">
        <v>20</v>
      </c>
      <c r="F221" t="s">
        <v>21</v>
      </c>
      <c r="G221">
        <v>3747</v>
      </c>
      <c r="H221">
        <v>2139</v>
      </c>
      <c r="I221">
        <v>80</v>
      </c>
      <c r="J221">
        <v>360</v>
      </c>
      <c r="K221">
        <v>0</v>
      </c>
      <c r="L221" t="s">
        <v>22</v>
      </c>
      <c r="M221">
        <f>Table1[[#This Row],[ApplicantIncome]]+Table1[[#This Row],[CoapplicantIncome]]</f>
        <v>5886</v>
      </c>
      <c r="N221">
        <f>Table1[[#This Row],[LoanAmount]] /Table1[[#This Row],[Total_Income ]]</f>
        <v>1.3591573224600747E-2</v>
      </c>
      <c r="O221">
        <f>Table1[[#This Row],[LoanAmount]]/Table1[[#This Row],[Loan_Amount_Term]]</f>
        <v>0.22222222222222221</v>
      </c>
      <c r="P221">
        <f>IF(Table1[[#This Row],[Total_Income ]]&gt;=AVERAGE(Table1[[#This Row],[Total_Income ]]),1,0)</f>
        <v>1</v>
      </c>
      <c r="Q221">
        <f>IF(Table1[[#This Row],[LoanAmount]]&gt;=AVERAGE(Table1[[#This Row],[LoanAmount]]),1,0)</f>
        <v>1</v>
      </c>
    </row>
    <row r="222" spans="1:17">
      <c r="A222" t="s">
        <v>247</v>
      </c>
      <c r="B222" t="s">
        <v>30</v>
      </c>
      <c r="C222" t="s">
        <v>19</v>
      </c>
      <c r="D222" s="1">
        <v>0</v>
      </c>
      <c r="E222" t="s">
        <v>20</v>
      </c>
      <c r="F222" t="s">
        <v>19</v>
      </c>
      <c r="G222">
        <v>2166</v>
      </c>
      <c r="H222">
        <v>2166</v>
      </c>
      <c r="I222">
        <v>152</v>
      </c>
      <c r="J222">
        <v>360</v>
      </c>
      <c r="K222">
        <v>1</v>
      </c>
      <c r="L222" t="s">
        <v>22</v>
      </c>
      <c r="M222">
        <f>Table1[[#This Row],[ApplicantIncome]]+Table1[[#This Row],[CoapplicantIncome]]</f>
        <v>4332</v>
      </c>
      <c r="N222">
        <f>Table1[[#This Row],[LoanAmount]] /Table1[[#This Row],[Total_Income ]]</f>
        <v>3.5087719298245612E-2</v>
      </c>
      <c r="O222">
        <f>Table1[[#This Row],[LoanAmount]]/Table1[[#This Row],[Loan_Amount_Term]]</f>
        <v>0.42222222222222222</v>
      </c>
      <c r="P222">
        <f>IF(Table1[[#This Row],[Total_Income ]]&gt;=AVERAGE(Table1[[#This Row],[Total_Income ]]),1,0)</f>
        <v>1</v>
      </c>
      <c r="Q222">
        <f>IF(Table1[[#This Row],[LoanAmount]]&gt;=AVERAGE(Table1[[#This Row],[LoanAmount]]),1,0)</f>
        <v>1</v>
      </c>
    </row>
    <row r="223" spans="1:17">
      <c r="A223" t="s">
        <v>248</v>
      </c>
      <c r="B223" t="s">
        <v>18</v>
      </c>
      <c r="C223" t="s">
        <v>19</v>
      </c>
      <c r="D223" s="1">
        <v>0</v>
      </c>
      <c r="E223" t="s">
        <v>27</v>
      </c>
      <c r="F223" t="s">
        <v>21</v>
      </c>
      <c r="G223">
        <v>3500</v>
      </c>
      <c r="H223">
        <v>2168</v>
      </c>
      <c r="I223">
        <v>187</v>
      </c>
      <c r="J223">
        <v>360</v>
      </c>
      <c r="K223">
        <v>1</v>
      </c>
      <c r="L223" t="s">
        <v>33</v>
      </c>
      <c r="M223">
        <f>Table1[[#This Row],[ApplicantIncome]]+Table1[[#This Row],[CoapplicantIncome]]</f>
        <v>5668</v>
      </c>
      <c r="N223">
        <f>Table1[[#This Row],[LoanAmount]] /Table1[[#This Row],[Total_Income ]]</f>
        <v>3.2992237120677489E-2</v>
      </c>
      <c r="O223">
        <f>Table1[[#This Row],[LoanAmount]]/Table1[[#This Row],[Loan_Amount_Term]]</f>
        <v>0.51944444444444449</v>
      </c>
      <c r="P223">
        <f>IF(Table1[[#This Row],[Total_Income ]]&gt;=AVERAGE(Table1[[#This Row],[Total_Income ]]),1,0)</f>
        <v>1</v>
      </c>
      <c r="Q223">
        <f>IF(Table1[[#This Row],[LoanAmount]]&gt;=AVERAGE(Table1[[#This Row],[LoanAmount]]),1,0)</f>
        <v>1</v>
      </c>
    </row>
    <row r="224" spans="1:17">
      <c r="A224" t="s">
        <v>249</v>
      </c>
      <c r="B224" t="s">
        <v>18</v>
      </c>
      <c r="C224" t="s">
        <v>19</v>
      </c>
      <c r="D224" s="1">
        <v>1</v>
      </c>
      <c r="E224" t="s">
        <v>27</v>
      </c>
      <c r="F224" t="s">
        <v>21</v>
      </c>
      <c r="G224">
        <v>2896</v>
      </c>
      <c r="H224">
        <v>0</v>
      </c>
      <c r="I224">
        <v>74</v>
      </c>
      <c r="J224">
        <v>360</v>
      </c>
      <c r="K224">
        <v>1</v>
      </c>
      <c r="L224" t="s">
        <v>22</v>
      </c>
      <c r="M224">
        <f>Table1[[#This Row],[ApplicantIncome]]+Table1[[#This Row],[CoapplicantIncome]]</f>
        <v>2896</v>
      </c>
      <c r="N224">
        <f>Table1[[#This Row],[LoanAmount]] /Table1[[#This Row],[Total_Income ]]</f>
        <v>2.5552486187845305E-2</v>
      </c>
      <c r="O224">
        <f>Table1[[#This Row],[LoanAmount]]/Table1[[#This Row],[Loan_Amount_Term]]</f>
        <v>0.20555555555555555</v>
      </c>
      <c r="P224">
        <f>IF(Table1[[#This Row],[Total_Income ]]&gt;=AVERAGE(Table1[[#This Row],[Total_Income ]]),1,0)</f>
        <v>1</v>
      </c>
      <c r="Q224">
        <f>IF(Table1[[#This Row],[LoanAmount]]&gt;=AVERAGE(Table1[[#This Row],[LoanAmount]]),1,0)</f>
        <v>1</v>
      </c>
    </row>
    <row r="225" spans="1:17">
      <c r="A225" t="s">
        <v>250</v>
      </c>
      <c r="B225" t="s">
        <v>18</v>
      </c>
      <c r="C225" t="s">
        <v>21</v>
      </c>
      <c r="D225" s="1">
        <v>0</v>
      </c>
      <c r="E225" t="s">
        <v>20</v>
      </c>
      <c r="F225" t="s">
        <v>21</v>
      </c>
      <c r="G225">
        <v>5062</v>
      </c>
      <c r="H225">
        <v>0</v>
      </c>
      <c r="I225">
        <v>102</v>
      </c>
      <c r="J225">
        <v>360</v>
      </c>
      <c r="K225">
        <v>1</v>
      </c>
      <c r="L225" t="s">
        <v>33</v>
      </c>
      <c r="M225">
        <f>Table1[[#This Row],[ApplicantIncome]]+Table1[[#This Row],[CoapplicantIncome]]</f>
        <v>5062</v>
      </c>
      <c r="N225">
        <f>Table1[[#This Row],[LoanAmount]] /Table1[[#This Row],[Total_Income ]]</f>
        <v>2.0150138285262742E-2</v>
      </c>
      <c r="O225">
        <f>Table1[[#This Row],[LoanAmount]]/Table1[[#This Row],[Loan_Amount_Term]]</f>
        <v>0.28333333333333333</v>
      </c>
      <c r="P225">
        <f>IF(Table1[[#This Row],[Total_Income ]]&gt;=AVERAGE(Table1[[#This Row],[Total_Income ]]),1,0)</f>
        <v>1</v>
      </c>
      <c r="Q225">
        <f>IF(Table1[[#This Row],[LoanAmount]]&gt;=AVERAGE(Table1[[#This Row],[LoanAmount]]),1,0)</f>
        <v>1</v>
      </c>
    </row>
    <row r="226" spans="1:17">
      <c r="A226" t="s">
        <v>251</v>
      </c>
      <c r="B226" t="s">
        <v>18</v>
      </c>
      <c r="C226" t="s">
        <v>21</v>
      </c>
      <c r="D226" s="1" t="s">
        <v>39</v>
      </c>
      <c r="E226" t="s">
        <v>20</v>
      </c>
      <c r="F226" t="s">
        <v>21</v>
      </c>
      <c r="G226">
        <v>5184</v>
      </c>
      <c r="H226">
        <v>0</v>
      </c>
      <c r="I226">
        <v>100</v>
      </c>
      <c r="J226">
        <v>360</v>
      </c>
      <c r="K226">
        <v>0</v>
      </c>
      <c r="L226" t="s">
        <v>31</v>
      </c>
      <c r="M226">
        <f>Table1[[#This Row],[ApplicantIncome]]+Table1[[#This Row],[CoapplicantIncome]]</f>
        <v>5184</v>
      </c>
      <c r="N226">
        <f>Table1[[#This Row],[LoanAmount]] /Table1[[#This Row],[Total_Income ]]</f>
        <v>1.9290123456790122E-2</v>
      </c>
      <c r="O226">
        <f>Table1[[#This Row],[LoanAmount]]/Table1[[#This Row],[Loan_Amount_Term]]</f>
        <v>0.27777777777777779</v>
      </c>
      <c r="P226">
        <f>IF(Table1[[#This Row],[Total_Income ]]&gt;=AVERAGE(Table1[[#This Row],[Total_Income ]]),1,0)</f>
        <v>1</v>
      </c>
      <c r="Q226">
        <f>IF(Table1[[#This Row],[LoanAmount]]&gt;=AVERAGE(Table1[[#This Row],[LoanAmount]]),1,0)</f>
        <v>1</v>
      </c>
    </row>
    <row r="227" spans="1:17">
      <c r="A227" t="s">
        <v>252</v>
      </c>
      <c r="B227" t="s">
        <v>18</v>
      </c>
      <c r="C227" t="s">
        <v>21</v>
      </c>
      <c r="D227" s="1">
        <v>0</v>
      </c>
      <c r="E227" t="s">
        <v>20</v>
      </c>
      <c r="F227" t="s">
        <v>21</v>
      </c>
      <c r="G227">
        <v>2545</v>
      </c>
      <c r="H227">
        <v>0</v>
      </c>
      <c r="I227">
        <v>130</v>
      </c>
      <c r="J227">
        <v>360</v>
      </c>
      <c r="K227">
        <v>1</v>
      </c>
      <c r="L227" t="s">
        <v>22</v>
      </c>
      <c r="M227">
        <f>Table1[[#This Row],[ApplicantIncome]]+Table1[[#This Row],[CoapplicantIncome]]</f>
        <v>2545</v>
      </c>
      <c r="N227">
        <f>Table1[[#This Row],[LoanAmount]] /Table1[[#This Row],[Total_Income ]]</f>
        <v>5.1080550098231828E-2</v>
      </c>
      <c r="O227">
        <f>Table1[[#This Row],[LoanAmount]]/Table1[[#This Row],[Loan_Amount_Term]]</f>
        <v>0.3611111111111111</v>
      </c>
      <c r="P227">
        <f>IF(Table1[[#This Row],[Total_Income ]]&gt;=AVERAGE(Table1[[#This Row],[Total_Income ]]),1,0)</f>
        <v>1</v>
      </c>
      <c r="Q227">
        <f>IF(Table1[[#This Row],[LoanAmount]]&gt;=AVERAGE(Table1[[#This Row],[LoanAmount]]),1,0)</f>
        <v>1</v>
      </c>
    </row>
    <row r="228" spans="1:17">
      <c r="A228" t="s">
        <v>253</v>
      </c>
      <c r="B228" t="s">
        <v>18</v>
      </c>
      <c r="C228" t="s">
        <v>19</v>
      </c>
      <c r="D228" s="1">
        <v>0</v>
      </c>
      <c r="E228" t="s">
        <v>20</v>
      </c>
      <c r="F228" t="s">
        <v>21</v>
      </c>
      <c r="G228">
        <v>2553</v>
      </c>
      <c r="H228">
        <v>1768</v>
      </c>
      <c r="I228">
        <v>125</v>
      </c>
      <c r="J228">
        <v>180</v>
      </c>
      <c r="K228">
        <v>0</v>
      </c>
      <c r="L228" t="s">
        <v>22</v>
      </c>
      <c r="M228">
        <f>Table1[[#This Row],[ApplicantIncome]]+Table1[[#This Row],[CoapplicantIncome]]</f>
        <v>4321</v>
      </c>
      <c r="N228">
        <f>Table1[[#This Row],[LoanAmount]] /Table1[[#This Row],[Total_Income ]]</f>
        <v>2.8928488775746355E-2</v>
      </c>
      <c r="O228">
        <f>Table1[[#This Row],[LoanAmount]]/Table1[[#This Row],[Loan_Amount_Term]]</f>
        <v>0.69444444444444442</v>
      </c>
      <c r="P228">
        <f>IF(Table1[[#This Row],[Total_Income ]]&gt;=AVERAGE(Table1[[#This Row],[Total_Income ]]),1,0)</f>
        <v>1</v>
      </c>
      <c r="Q228">
        <f>IF(Table1[[#This Row],[LoanAmount]]&gt;=AVERAGE(Table1[[#This Row],[LoanAmount]]),1,0)</f>
        <v>1</v>
      </c>
    </row>
    <row r="229" spans="1:17">
      <c r="A229" t="s">
        <v>254</v>
      </c>
      <c r="B229" t="s">
        <v>30</v>
      </c>
      <c r="C229" t="s">
        <v>19</v>
      </c>
      <c r="D229" s="1">
        <v>0</v>
      </c>
      <c r="E229" t="s">
        <v>20</v>
      </c>
      <c r="F229" t="s">
        <v>21</v>
      </c>
      <c r="G229">
        <v>3436</v>
      </c>
      <c r="H229">
        <v>3809</v>
      </c>
      <c r="I229">
        <v>130</v>
      </c>
      <c r="J229">
        <v>360</v>
      </c>
      <c r="K229">
        <v>1</v>
      </c>
      <c r="L229" t="s">
        <v>33</v>
      </c>
      <c r="M229">
        <f>Table1[[#This Row],[ApplicantIncome]]+Table1[[#This Row],[CoapplicantIncome]]</f>
        <v>7245</v>
      </c>
      <c r="N229">
        <f>Table1[[#This Row],[LoanAmount]] /Table1[[#This Row],[Total_Income ]]</f>
        <v>1.7943409247757072E-2</v>
      </c>
      <c r="O229">
        <f>Table1[[#This Row],[LoanAmount]]/Table1[[#This Row],[Loan_Amount_Term]]</f>
        <v>0.3611111111111111</v>
      </c>
      <c r="P229">
        <f>IF(Table1[[#This Row],[Total_Income ]]&gt;=AVERAGE(Table1[[#This Row],[Total_Income ]]),1,0)</f>
        <v>1</v>
      </c>
      <c r="Q229">
        <f>IF(Table1[[#This Row],[LoanAmount]]&gt;=AVERAGE(Table1[[#This Row],[LoanAmount]]),1,0)</f>
        <v>1</v>
      </c>
    </row>
    <row r="230" spans="1:17">
      <c r="A230" t="s">
        <v>255</v>
      </c>
      <c r="B230" t="s">
        <v>30</v>
      </c>
      <c r="C230" t="s">
        <v>21</v>
      </c>
      <c r="D230" s="1">
        <v>1</v>
      </c>
      <c r="E230" t="s">
        <v>20</v>
      </c>
      <c r="F230" t="s">
        <v>21</v>
      </c>
      <c r="G230">
        <v>2412</v>
      </c>
      <c r="H230">
        <v>2755</v>
      </c>
      <c r="I230">
        <v>138</v>
      </c>
      <c r="J230">
        <v>360</v>
      </c>
      <c r="K230">
        <v>0</v>
      </c>
      <c r="L230" t="s">
        <v>33</v>
      </c>
      <c r="M230">
        <f>Table1[[#This Row],[ApplicantIncome]]+Table1[[#This Row],[CoapplicantIncome]]</f>
        <v>5167</v>
      </c>
      <c r="N230">
        <f>Table1[[#This Row],[LoanAmount]] /Table1[[#This Row],[Total_Income ]]</f>
        <v>2.6707954325527385E-2</v>
      </c>
      <c r="O230">
        <f>Table1[[#This Row],[LoanAmount]]/Table1[[#This Row],[Loan_Amount_Term]]</f>
        <v>0.38333333333333336</v>
      </c>
      <c r="P230">
        <f>IF(Table1[[#This Row],[Total_Income ]]&gt;=AVERAGE(Table1[[#This Row],[Total_Income ]]),1,0)</f>
        <v>1</v>
      </c>
      <c r="Q230">
        <f>IF(Table1[[#This Row],[LoanAmount]]&gt;=AVERAGE(Table1[[#This Row],[LoanAmount]]),1,0)</f>
        <v>1</v>
      </c>
    </row>
    <row r="231" spans="1:17">
      <c r="A231" t="s">
        <v>256</v>
      </c>
      <c r="B231" t="s">
        <v>18</v>
      </c>
      <c r="C231" t="s">
        <v>19</v>
      </c>
      <c r="D231" s="1">
        <v>0</v>
      </c>
      <c r="E231" t="s">
        <v>27</v>
      </c>
      <c r="F231" t="s">
        <v>21</v>
      </c>
      <c r="G231">
        <v>5180</v>
      </c>
      <c r="H231">
        <v>0</v>
      </c>
      <c r="I231">
        <v>28</v>
      </c>
      <c r="J231">
        <v>360</v>
      </c>
      <c r="K231">
        <v>1</v>
      </c>
      <c r="L231" t="s">
        <v>22</v>
      </c>
      <c r="M231">
        <f>Table1[[#This Row],[ApplicantIncome]]+Table1[[#This Row],[CoapplicantIncome]]</f>
        <v>5180</v>
      </c>
      <c r="N231">
        <f>Table1[[#This Row],[LoanAmount]] /Table1[[#This Row],[Total_Income ]]</f>
        <v>5.4054054054054057E-3</v>
      </c>
      <c r="O231">
        <f>Table1[[#This Row],[LoanAmount]]/Table1[[#This Row],[Loan_Amount_Term]]</f>
        <v>7.7777777777777779E-2</v>
      </c>
      <c r="P231">
        <f>IF(Table1[[#This Row],[Total_Income ]]&gt;=AVERAGE(Table1[[#This Row],[Total_Income ]]),1,0)</f>
        <v>1</v>
      </c>
      <c r="Q231">
        <f>IF(Table1[[#This Row],[LoanAmount]]&gt;=AVERAGE(Table1[[#This Row],[LoanAmount]]),1,0)</f>
        <v>1</v>
      </c>
    </row>
    <row r="232" spans="1:17">
      <c r="A232" t="s">
        <v>257</v>
      </c>
      <c r="B232" t="s">
        <v>30</v>
      </c>
      <c r="C232" t="s">
        <v>21</v>
      </c>
      <c r="D232" s="1">
        <v>0</v>
      </c>
      <c r="E232" t="s">
        <v>20</v>
      </c>
      <c r="F232" t="s">
        <v>21</v>
      </c>
      <c r="G232">
        <v>14911</v>
      </c>
      <c r="H232">
        <v>14507</v>
      </c>
      <c r="I232">
        <v>92</v>
      </c>
      <c r="J232">
        <v>360</v>
      </c>
      <c r="K232">
        <v>1</v>
      </c>
      <c r="L232" t="s">
        <v>31</v>
      </c>
      <c r="M232">
        <f>Table1[[#This Row],[ApplicantIncome]]+Table1[[#This Row],[CoapplicantIncome]]</f>
        <v>29418</v>
      </c>
      <c r="N232">
        <f>Table1[[#This Row],[LoanAmount]] /Table1[[#This Row],[Total_Income ]]</f>
        <v>3.1273370045550343E-3</v>
      </c>
      <c r="O232">
        <f>Table1[[#This Row],[LoanAmount]]/Table1[[#This Row],[Loan_Amount_Term]]</f>
        <v>0.25555555555555554</v>
      </c>
      <c r="P232">
        <f>IF(Table1[[#This Row],[Total_Income ]]&gt;=AVERAGE(Table1[[#This Row],[Total_Income ]]),1,0)</f>
        <v>1</v>
      </c>
      <c r="Q232">
        <f>IF(Table1[[#This Row],[LoanAmount]]&gt;=AVERAGE(Table1[[#This Row],[LoanAmount]]),1,0)</f>
        <v>1</v>
      </c>
    </row>
    <row r="233" spans="1:17">
      <c r="A233" t="s">
        <v>258</v>
      </c>
      <c r="B233" t="s">
        <v>18</v>
      </c>
      <c r="C233" t="s">
        <v>21</v>
      </c>
      <c r="D233" s="1">
        <v>0</v>
      </c>
      <c r="E233" t="s">
        <v>20</v>
      </c>
      <c r="F233" t="s">
        <v>21</v>
      </c>
      <c r="G233">
        <v>2860</v>
      </c>
      <c r="H233">
        <v>2988</v>
      </c>
      <c r="I233">
        <v>104</v>
      </c>
      <c r="J233">
        <v>360</v>
      </c>
      <c r="K233">
        <v>1</v>
      </c>
      <c r="L233" t="s">
        <v>22</v>
      </c>
      <c r="M233">
        <f>Table1[[#This Row],[ApplicantIncome]]+Table1[[#This Row],[CoapplicantIncome]]</f>
        <v>5848</v>
      </c>
      <c r="N233">
        <f>Table1[[#This Row],[LoanAmount]] /Table1[[#This Row],[Total_Income ]]</f>
        <v>1.7783857729138167E-2</v>
      </c>
      <c r="O233">
        <f>Table1[[#This Row],[LoanAmount]]/Table1[[#This Row],[Loan_Amount_Term]]</f>
        <v>0.28888888888888886</v>
      </c>
      <c r="P233">
        <f>IF(Table1[[#This Row],[Total_Income ]]&gt;=AVERAGE(Table1[[#This Row],[Total_Income ]]),1,0)</f>
        <v>1</v>
      </c>
      <c r="Q233">
        <f>IF(Table1[[#This Row],[LoanAmount]]&gt;=AVERAGE(Table1[[#This Row],[LoanAmount]]),1,0)</f>
        <v>1</v>
      </c>
    </row>
    <row r="234" spans="1:17">
      <c r="A234" t="s">
        <v>259</v>
      </c>
      <c r="B234" t="s">
        <v>18</v>
      </c>
      <c r="C234" t="s">
        <v>19</v>
      </c>
      <c r="D234" s="1">
        <v>2</v>
      </c>
      <c r="E234" t="s">
        <v>20</v>
      </c>
      <c r="F234" t="s">
        <v>21</v>
      </c>
      <c r="G234">
        <v>1173</v>
      </c>
      <c r="H234">
        <v>1594</v>
      </c>
      <c r="I234">
        <v>176</v>
      </c>
      <c r="J234">
        <v>360</v>
      </c>
      <c r="K234">
        <v>1</v>
      </c>
      <c r="L234" t="s">
        <v>33</v>
      </c>
      <c r="M234">
        <f>Table1[[#This Row],[ApplicantIncome]]+Table1[[#This Row],[CoapplicantIncome]]</f>
        <v>2767</v>
      </c>
      <c r="N234">
        <f>Table1[[#This Row],[LoanAmount]] /Table1[[#This Row],[Total_Income ]]</f>
        <v>6.3606794362125046E-2</v>
      </c>
      <c r="O234">
        <f>Table1[[#This Row],[LoanAmount]]/Table1[[#This Row],[Loan_Amount_Term]]</f>
        <v>0.48888888888888887</v>
      </c>
      <c r="P234">
        <f>IF(Table1[[#This Row],[Total_Income ]]&gt;=AVERAGE(Table1[[#This Row],[Total_Income ]]),1,0)</f>
        <v>1</v>
      </c>
      <c r="Q234">
        <f>IF(Table1[[#This Row],[LoanAmount]]&gt;=AVERAGE(Table1[[#This Row],[LoanAmount]]),1,0)</f>
        <v>1</v>
      </c>
    </row>
    <row r="235" spans="1:17">
      <c r="A235" t="s">
        <v>260</v>
      </c>
      <c r="B235" t="s">
        <v>18</v>
      </c>
      <c r="C235" t="s">
        <v>21</v>
      </c>
      <c r="D235" s="1">
        <v>2</v>
      </c>
      <c r="E235" t="s">
        <v>20</v>
      </c>
      <c r="F235" t="s">
        <v>21</v>
      </c>
      <c r="G235">
        <v>7600</v>
      </c>
      <c r="H235">
        <v>0</v>
      </c>
      <c r="I235">
        <v>117</v>
      </c>
      <c r="J235">
        <v>480</v>
      </c>
      <c r="K235">
        <v>0</v>
      </c>
      <c r="L235" t="s">
        <v>31</v>
      </c>
      <c r="M235">
        <f>Table1[[#This Row],[ApplicantIncome]]+Table1[[#This Row],[CoapplicantIncome]]</f>
        <v>7600</v>
      </c>
      <c r="N235">
        <f>Table1[[#This Row],[LoanAmount]] /Table1[[#This Row],[Total_Income ]]</f>
        <v>1.5394736842105263E-2</v>
      </c>
      <c r="O235">
        <f>Table1[[#This Row],[LoanAmount]]/Table1[[#This Row],[Loan_Amount_Term]]</f>
        <v>0.24374999999999999</v>
      </c>
      <c r="P235">
        <f>IF(Table1[[#This Row],[Total_Income ]]&gt;=AVERAGE(Table1[[#This Row],[Total_Income ]]),1,0)</f>
        <v>1</v>
      </c>
      <c r="Q235">
        <f>IF(Table1[[#This Row],[LoanAmount]]&gt;=AVERAGE(Table1[[#This Row],[LoanAmount]]),1,0)</f>
        <v>1</v>
      </c>
    </row>
    <row r="236" spans="1:17">
      <c r="A236" t="s">
        <v>261</v>
      </c>
      <c r="B236" t="s">
        <v>18</v>
      </c>
      <c r="C236" t="s">
        <v>19</v>
      </c>
      <c r="D236" s="1">
        <v>0</v>
      </c>
      <c r="E236" t="s">
        <v>20</v>
      </c>
      <c r="F236" t="s">
        <v>19</v>
      </c>
      <c r="G236">
        <v>2157</v>
      </c>
      <c r="H236">
        <v>1788</v>
      </c>
      <c r="I236">
        <v>102</v>
      </c>
      <c r="J236">
        <v>360</v>
      </c>
      <c r="K236">
        <v>1</v>
      </c>
      <c r="L236" t="s">
        <v>22</v>
      </c>
      <c r="M236">
        <f>Table1[[#This Row],[ApplicantIncome]]+Table1[[#This Row],[CoapplicantIncome]]</f>
        <v>3945</v>
      </c>
      <c r="N236">
        <f>Table1[[#This Row],[LoanAmount]] /Table1[[#This Row],[Total_Income ]]</f>
        <v>2.5855513307984791E-2</v>
      </c>
      <c r="O236">
        <f>Table1[[#This Row],[LoanAmount]]/Table1[[#This Row],[Loan_Amount_Term]]</f>
        <v>0.28333333333333333</v>
      </c>
      <c r="P236">
        <f>IF(Table1[[#This Row],[Total_Income ]]&gt;=AVERAGE(Table1[[#This Row],[Total_Income ]]),1,0)</f>
        <v>1</v>
      </c>
      <c r="Q236">
        <f>IF(Table1[[#This Row],[LoanAmount]]&gt;=AVERAGE(Table1[[#This Row],[LoanAmount]]),1,0)</f>
        <v>1</v>
      </c>
    </row>
    <row r="237" spans="1:17">
      <c r="A237" t="s">
        <v>262</v>
      </c>
      <c r="B237" t="s">
        <v>18</v>
      </c>
      <c r="C237" t="s">
        <v>21</v>
      </c>
      <c r="D237" s="1">
        <v>0</v>
      </c>
      <c r="E237" t="s">
        <v>20</v>
      </c>
      <c r="F237" t="s">
        <v>21</v>
      </c>
      <c r="G237">
        <v>2231</v>
      </c>
      <c r="H237">
        <v>2774</v>
      </c>
      <c r="I237">
        <v>107</v>
      </c>
      <c r="J237">
        <v>360</v>
      </c>
      <c r="K237">
        <v>1</v>
      </c>
      <c r="L237" t="s">
        <v>22</v>
      </c>
      <c r="M237">
        <f>Table1[[#This Row],[ApplicantIncome]]+Table1[[#This Row],[CoapplicantIncome]]</f>
        <v>5005</v>
      </c>
      <c r="N237">
        <f>Table1[[#This Row],[LoanAmount]] /Table1[[#This Row],[Total_Income ]]</f>
        <v>2.1378621378621378E-2</v>
      </c>
      <c r="O237">
        <f>Table1[[#This Row],[LoanAmount]]/Table1[[#This Row],[Loan_Amount_Term]]</f>
        <v>0.29722222222222222</v>
      </c>
      <c r="P237">
        <f>IF(Table1[[#This Row],[Total_Income ]]&gt;=AVERAGE(Table1[[#This Row],[Total_Income ]]),1,0)</f>
        <v>1</v>
      </c>
      <c r="Q237">
        <f>IF(Table1[[#This Row],[LoanAmount]]&gt;=AVERAGE(Table1[[#This Row],[LoanAmount]]),1,0)</f>
        <v>1</v>
      </c>
    </row>
    <row r="238" spans="1:17">
      <c r="A238" t="s">
        <v>263</v>
      </c>
      <c r="B238" t="s">
        <v>18</v>
      </c>
      <c r="C238" t="s">
        <v>21</v>
      </c>
      <c r="D238" s="1">
        <v>0</v>
      </c>
      <c r="E238" t="s">
        <v>20</v>
      </c>
      <c r="F238" t="s">
        <v>19</v>
      </c>
      <c r="G238">
        <v>2274</v>
      </c>
      <c r="H238">
        <v>5211</v>
      </c>
      <c r="I238">
        <v>66</v>
      </c>
      <c r="J238">
        <v>360</v>
      </c>
      <c r="K238">
        <v>1</v>
      </c>
      <c r="L238" t="s">
        <v>31</v>
      </c>
      <c r="M238">
        <f>Table1[[#This Row],[ApplicantIncome]]+Table1[[#This Row],[CoapplicantIncome]]</f>
        <v>7485</v>
      </c>
      <c r="N238">
        <f>Table1[[#This Row],[LoanAmount]] /Table1[[#This Row],[Total_Income ]]</f>
        <v>8.8176352705410816E-3</v>
      </c>
      <c r="O238">
        <f>Table1[[#This Row],[LoanAmount]]/Table1[[#This Row],[Loan_Amount_Term]]</f>
        <v>0.18333333333333332</v>
      </c>
      <c r="P238">
        <f>IF(Table1[[#This Row],[Total_Income ]]&gt;=AVERAGE(Table1[[#This Row],[Total_Income ]]),1,0)</f>
        <v>1</v>
      </c>
      <c r="Q238">
        <f>IF(Table1[[#This Row],[LoanAmount]]&gt;=AVERAGE(Table1[[#This Row],[LoanAmount]]),1,0)</f>
        <v>1</v>
      </c>
    </row>
    <row r="239" spans="1:17">
      <c r="A239" t="s">
        <v>264</v>
      </c>
      <c r="B239" t="s">
        <v>18</v>
      </c>
      <c r="C239" t="s">
        <v>19</v>
      </c>
      <c r="D239" s="1">
        <v>0</v>
      </c>
      <c r="E239" t="s">
        <v>27</v>
      </c>
      <c r="F239" t="s">
        <v>21</v>
      </c>
      <c r="G239">
        <v>6166</v>
      </c>
      <c r="H239">
        <v>13983</v>
      </c>
      <c r="I239">
        <v>105</v>
      </c>
      <c r="J239">
        <v>360</v>
      </c>
      <c r="K239">
        <v>1</v>
      </c>
      <c r="L239" t="s">
        <v>33</v>
      </c>
      <c r="M239">
        <f>Table1[[#This Row],[ApplicantIncome]]+Table1[[#This Row],[CoapplicantIncome]]</f>
        <v>20149</v>
      </c>
      <c r="N239">
        <f>Table1[[#This Row],[LoanAmount]] /Table1[[#This Row],[Total_Income ]]</f>
        <v>5.2111767333366419E-3</v>
      </c>
      <c r="O239">
        <f>Table1[[#This Row],[LoanAmount]]/Table1[[#This Row],[Loan_Amount_Term]]</f>
        <v>0.29166666666666669</v>
      </c>
      <c r="P239">
        <f>IF(Table1[[#This Row],[Total_Income ]]&gt;=AVERAGE(Table1[[#This Row],[Total_Income ]]),1,0)</f>
        <v>1</v>
      </c>
      <c r="Q239">
        <f>IF(Table1[[#This Row],[LoanAmount]]&gt;=AVERAGE(Table1[[#This Row],[LoanAmount]]),1,0)</f>
        <v>1</v>
      </c>
    </row>
    <row r="240" spans="1:17">
      <c r="A240" t="s">
        <v>265</v>
      </c>
      <c r="B240" t="s">
        <v>30</v>
      </c>
      <c r="C240" t="s">
        <v>19</v>
      </c>
      <c r="D240" s="1">
        <v>0</v>
      </c>
      <c r="E240" t="s">
        <v>27</v>
      </c>
      <c r="F240" t="s">
        <v>21</v>
      </c>
      <c r="G240">
        <v>2513</v>
      </c>
      <c r="H240">
        <v>1110</v>
      </c>
      <c r="I240">
        <v>105</v>
      </c>
      <c r="J240">
        <v>360</v>
      </c>
      <c r="K240">
        <v>0</v>
      </c>
      <c r="L240" t="s">
        <v>31</v>
      </c>
      <c r="M240">
        <f>Table1[[#This Row],[ApplicantIncome]]+Table1[[#This Row],[CoapplicantIncome]]</f>
        <v>3623</v>
      </c>
      <c r="N240">
        <f>Table1[[#This Row],[LoanAmount]] /Table1[[#This Row],[Total_Income ]]</f>
        <v>2.8981507038365995E-2</v>
      </c>
      <c r="O240">
        <f>Table1[[#This Row],[LoanAmount]]/Table1[[#This Row],[Loan_Amount_Term]]</f>
        <v>0.29166666666666669</v>
      </c>
      <c r="P240">
        <f>IF(Table1[[#This Row],[Total_Income ]]&gt;=AVERAGE(Table1[[#This Row],[Total_Income ]]),1,0)</f>
        <v>1</v>
      </c>
      <c r="Q240">
        <f>IF(Table1[[#This Row],[LoanAmount]]&gt;=AVERAGE(Table1[[#This Row],[LoanAmount]]),1,0)</f>
        <v>1</v>
      </c>
    </row>
    <row r="241" spans="1:17">
      <c r="A241" t="s">
        <v>266</v>
      </c>
      <c r="B241" t="s">
        <v>18</v>
      </c>
      <c r="C241" t="s">
        <v>21</v>
      </c>
      <c r="D241" s="1">
        <v>0</v>
      </c>
      <c r="E241" t="s">
        <v>20</v>
      </c>
      <c r="F241" t="s">
        <v>21</v>
      </c>
      <c r="G241">
        <v>4333</v>
      </c>
      <c r="H241">
        <v>0</v>
      </c>
      <c r="I241">
        <v>105</v>
      </c>
      <c r="J241">
        <v>180</v>
      </c>
      <c r="K241">
        <v>1</v>
      </c>
      <c r="L241" t="s">
        <v>22</v>
      </c>
      <c r="M241">
        <f>Table1[[#This Row],[ApplicantIncome]]+Table1[[#This Row],[CoapplicantIncome]]</f>
        <v>4333</v>
      </c>
      <c r="N241">
        <f>Table1[[#This Row],[LoanAmount]] /Table1[[#This Row],[Total_Income ]]</f>
        <v>2.4232633279483037E-2</v>
      </c>
      <c r="O241">
        <f>Table1[[#This Row],[LoanAmount]]/Table1[[#This Row],[Loan_Amount_Term]]</f>
        <v>0.58333333333333337</v>
      </c>
      <c r="P241">
        <f>IF(Table1[[#This Row],[Total_Income ]]&gt;=AVERAGE(Table1[[#This Row],[Total_Income ]]),1,0)</f>
        <v>1</v>
      </c>
      <c r="Q241">
        <f>IF(Table1[[#This Row],[LoanAmount]]&gt;=AVERAGE(Table1[[#This Row],[LoanAmount]]),1,0)</f>
        <v>1</v>
      </c>
    </row>
    <row r="242" spans="1:17">
      <c r="A242" t="s">
        <v>267</v>
      </c>
      <c r="B242" t="s">
        <v>18</v>
      </c>
      <c r="C242" t="s">
        <v>21</v>
      </c>
      <c r="D242" s="1">
        <v>0</v>
      </c>
      <c r="E242" t="s">
        <v>27</v>
      </c>
      <c r="F242" t="s">
        <v>21</v>
      </c>
      <c r="G242">
        <v>3844</v>
      </c>
      <c r="H242">
        <v>0</v>
      </c>
      <c r="I242">
        <v>125</v>
      </c>
      <c r="J242">
        <v>360</v>
      </c>
      <c r="K242">
        <v>1</v>
      </c>
      <c r="L242" t="s">
        <v>22</v>
      </c>
      <c r="M242">
        <f>Table1[[#This Row],[ApplicantIncome]]+Table1[[#This Row],[CoapplicantIncome]]</f>
        <v>3844</v>
      </c>
      <c r="N242">
        <f>Table1[[#This Row],[LoanAmount]] /Table1[[#This Row],[Total_Income ]]</f>
        <v>3.2518210197710715E-2</v>
      </c>
      <c r="O242">
        <f>Table1[[#This Row],[LoanAmount]]/Table1[[#This Row],[Loan_Amount_Term]]</f>
        <v>0.34722222222222221</v>
      </c>
      <c r="P242">
        <f>IF(Table1[[#This Row],[Total_Income ]]&gt;=AVERAGE(Table1[[#This Row],[Total_Income ]]),1,0)</f>
        <v>1</v>
      </c>
      <c r="Q242">
        <f>IF(Table1[[#This Row],[LoanAmount]]&gt;=AVERAGE(Table1[[#This Row],[LoanAmount]]),1,0)</f>
        <v>1</v>
      </c>
    </row>
    <row r="243" spans="1:17">
      <c r="A243" t="s">
        <v>268</v>
      </c>
      <c r="B243" t="s">
        <v>18</v>
      </c>
      <c r="C243" t="s">
        <v>19</v>
      </c>
      <c r="D243" s="1">
        <v>2</v>
      </c>
      <c r="E243" t="s">
        <v>20</v>
      </c>
      <c r="F243" t="s">
        <v>21</v>
      </c>
      <c r="G243">
        <v>3887</v>
      </c>
      <c r="H243">
        <v>1517</v>
      </c>
      <c r="I243">
        <v>64</v>
      </c>
      <c r="J243">
        <v>360</v>
      </c>
      <c r="K243">
        <v>1</v>
      </c>
      <c r="L243" t="s">
        <v>31</v>
      </c>
      <c r="M243">
        <f>Table1[[#This Row],[ApplicantIncome]]+Table1[[#This Row],[CoapplicantIncome]]</f>
        <v>5404</v>
      </c>
      <c r="N243">
        <f>Table1[[#This Row],[LoanAmount]] /Table1[[#This Row],[Total_Income ]]</f>
        <v>1.1843079200592153E-2</v>
      </c>
      <c r="O243">
        <f>Table1[[#This Row],[LoanAmount]]/Table1[[#This Row],[Loan_Amount_Term]]</f>
        <v>0.17777777777777778</v>
      </c>
      <c r="P243">
        <f>IF(Table1[[#This Row],[Total_Income ]]&gt;=AVERAGE(Table1[[#This Row],[Total_Income ]]),1,0)</f>
        <v>1</v>
      </c>
      <c r="Q243">
        <f>IF(Table1[[#This Row],[LoanAmount]]&gt;=AVERAGE(Table1[[#This Row],[LoanAmount]]),1,0)</f>
        <v>1</v>
      </c>
    </row>
    <row r="244" spans="1:17">
      <c r="A244" t="s">
        <v>269</v>
      </c>
      <c r="B244" t="s">
        <v>18</v>
      </c>
      <c r="C244" t="s">
        <v>19</v>
      </c>
      <c r="D244" s="1">
        <v>0</v>
      </c>
      <c r="E244" t="s">
        <v>20</v>
      </c>
      <c r="F244" t="s">
        <v>21</v>
      </c>
      <c r="G244">
        <v>3510</v>
      </c>
      <c r="H244">
        <v>828</v>
      </c>
      <c r="I244">
        <v>150</v>
      </c>
      <c r="J244">
        <v>360</v>
      </c>
      <c r="K244">
        <v>1</v>
      </c>
      <c r="L244" t="s">
        <v>31</v>
      </c>
      <c r="M244">
        <f>Table1[[#This Row],[ApplicantIncome]]+Table1[[#This Row],[CoapplicantIncome]]</f>
        <v>4338</v>
      </c>
      <c r="N244">
        <f>Table1[[#This Row],[LoanAmount]] /Table1[[#This Row],[Total_Income ]]</f>
        <v>3.4578146611341634E-2</v>
      </c>
      <c r="O244">
        <f>Table1[[#This Row],[LoanAmount]]/Table1[[#This Row],[Loan_Amount_Term]]</f>
        <v>0.41666666666666669</v>
      </c>
      <c r="P244">
        <f>IF(Table1[[#This Row],[Total_Income ]]&gt;=AVERAGE(Table1[[#This Row],[Total_Income ]]),1,0)</f>
        <v>1</v>
      </c>
      <c r="Q244">
        <f>IF(Table1[[#This Row],[LoanAmount]]&gt;=AVERAGE(Table1[[#This Row],[LoanAmount]]),1,0)</f>
        <v>1</v>
      </c>
    </row>
    <row r="245" spans="1:17">
      <c r="A245" t="s">
        <v>270</v>
      </c>
      <c r="B245" t="s">
        <v>18</v>
      </c>
      <c r="C245" t="s">
        <v>19</v>
      </c>
      <c r="D245" s="1">
        <v>0</v>
      </c>
      <c r="E245" t="s">
        <v>20</v>
      </c>
      <c r="F245" t="s">
        <v>21</v>
      </c>
      <c r="G245">
        <v>2539</v>
      </c>
      <c r="H245">
        <v>1704</v>
      </c>
      <c r="I245">
        <v>150</v>
      </c>
      <c r="J245">
        <v>180</v>
      </c>
      <c r="K245">
        <v>1</v>
      </c>
      <c r="L245" t="s">
        <v>33</v>
      </c>
      <c r="M245">
        <f>Table1[[#This Row],[ApplicantIncome]]+Table1[[#This Row],[CoapplicantIncome]]</f>
        <v>4243</v>
      </c>
      <c r="N245">
        <f>Table1[[#This Row],[LoanAmount]] /Table1[[#This Row],[Total_Income ]]</f>
        <v>3.5352345038887581E-2</v>
      </c>
      <c r="O245">
        <f>Table1[[#This Row],[LoanAmount]]/Table1[[#This Row],[Loan_Amount_Term]]</f>
        <v>0.83333333333333337</v>
      </c>
      <c r="P245">
        <f>IF(Table1[[#This Row],[Total_Income ]]&gt;=AVERAGE(Table1[[#This Row],[Total_Income ]]),1,0)</f>
        <v>1</v>
      </c>
      <c r="Q245">
        <f>IF(Table1[[#This Row],[LoanAmount]]&gt;=AVERAGE(Table1[[#This Row],[LoanAmount]]),1,0)</f>
        <v>1</v>
      </c>
    </row>
    <row r="246" spans="1:17">
      <c r="A246" t="s">
        <v>271</v>
      </c>
      <c r="B246" t="s">
        <v>18</v>
      </c>
      <c r="C246" t="s">
        <v>21</v>
      </c>
      <c r="D246" s="1" t="s">
        <v>39</v>
      </c>
      <c r="E246" t="s">
        <v>27</v>
      </c>
      <c r="F246" t="s">
        <v>21</v>
      </c>
      <c r="G246">
        <v>2107</v>
      </c>
      <c r="H246">
        <v>0</v>
      </c>
      <c r="I246">
        <v>64</v>
      </c>
      <c r="J246">
        <v>480</v>
      </c>
      <c r="K246">
        <v>1</v>
      </c>
      <c r="L246" t="s">
        <v>31</v>
      </c>
      <c r="M246">
        <f>Table1[[#This Row],[ApplicantIncome]]+Table1[[#This Row],[CoapplicantIncome]]</f>
        <v>2107</v>
      </c>
      <c r="N246">
        <f>Table1[[#This Row],[LoanAmount]] /Table1[[#This Row],[Total_Income ]]</f>
        <v>3.0374940673943997E-2</v>
      </c>
      <c r="O246">
        <f>Table1[[#This Row],[LoanAmount]]/Table1[[#This Row],[Loan_Amount_Term]]</f>
        <v>0.13333333333333333</v>
      </c>
      <c r="P246">
        <f>IF(Table1[[#This Row],[Total_Income ]]&gt;=AVERAGE(Table1[[#This Row],[Total_Income ]]),1,0)</f>
        <v>1</v>
      </c>
      <c r="Q246">
        <f>IF(Table1[[#This Row],[LoanAmount]]&gt;=AVERAGE(Table1[[#This Row],[LoanAmount]]),1,0)</f>
        <v>1</v>
      </c>
    </row>
    <row r="247" spans="1:17">
      <c r="A247" t="s">
        <v>272</v>
      </c>
      <c r="B247" t="s">
        <v>30</v>
      </c>
      <c r="C247" t="s">
        <v>19</v>
      </c>
      <c r="D247" s="1">
        <v>1</v>
      </c>
      <c r="E247" t="s">
        <v>20</v>
      </c>
      <c r="F247" t="s">
        <v>21</v>
      </c>
      <c r="G247">
        <v>3186</v>
      </c>
      <c r="H247">
        <v>3145</v>
      </c>
      <c r="I247">
        <v>40</v>
      </c>
      <c r="J247">
        <v>300</v>
      </c>
      <c r="K247">
        <v>1</v>
      </c>
      <c r="L247" t="s">
        <v>31</v>
      </c>
      <c r="M247">
        <f>Table1[[#This Row],[ApplicantIncome]]+Table1[[#This Row],[CoapplicantIncome]]</f>
        <v>6331</v>
      </c>
      <c r="N247">
        <f>Table1[[#This Row],[LoanAmount]] /Table1[[#This Row],[Total_Income ]]</f>
        <v>6.31811720107408E-3</v>
      </c>
      <c r="O247">
        <f>Table1[[#This Row],[LoanAmount]]/Table1[[#This Row],[Loan_Amount_Term]]</f>
        <v>0.13333333333333333</v>
      </c>
      <c r="P247">
        <f>IF(Table1[[#This Row],[Total_Income ]]&gt;=AVERAGE(Table1[[#This Row],[Total_Income ]]),1,0)</f>
        <v>1</v>
      </c>
      <c r="Q247">
        <f>IF(Table1[[#This Row],[LoanAmount]]&gt;=AVERAGE(Table1[[#This Row],[LoanAmount]]),1,0)</f>
        <v>1</v>
      </c>
    </row>
    <row r="248" spans="1:17">
      <c r="A248" t="s">
        <v>273</v>
      </c>
      <c r="B248" t="s">
        <v>18</v>
      </c>
      <c r="C248" t="s">
        <v>19</v>
      </c>
      <c r="D248" s="1">
        <v>2</v>
      </c>
      <c r="E248" t="s">
        <v>20</v>
      </c>
      <c r="F248" t="s">
        <v>21</v>
      </c>
      <c r="G248">
        <v>5000</v>
      </c>
      <c r="H248">
        <v>2166</v>
      </c>
      <c r="I248">
        <v>142</v>
      </c>
      <c r="J248">
        <v>360</v>
      </c>
      <c r="K248">
        <v>0</v>
      </c>
      <c r="L248" t="s">
        <v>22</v>
      </c>
      <c r="M248">
        <f>Table1[[#This Row],[ApplicantIncome]]+Table1[[#This Row],[CoapplicantIncome]]</f>
        <v>7166</v>
      </c>
      <c r="N248">
        <f>Table1[[#This Row],[LoanAmount]] /Table1[[#This Row],[Total_Income ]]</f>
        <v>1.9815796818308681E-2</v>
      </c>
      <c r="O248">
        <f>Table1[[#This Row],[LoanAmount]]/Table1[[#This Row],[Loan_Amount_Term]]</f>
        <v>0.39444444444444443</v>
      </c>
      <c r="P248">
        <f>IF(Table1[[#This Row],[Total_Income ]]&gt;=AVERAGE(Table1[[#This Row],[Total_Income ]]),1,0)</f>
        <v>1</v>
      </c>
      <c r="Q248">
        <f>IF(Table1[[#This Row],[LoanAmount]]&gt;=AVERAGE(Table1[[#This Row],[LoanAmount]]),1,0)</f>
        <v>1</v>
      </c>
    </row>
    <row r="249" spans="1:17">
      <c r="A249" t="s">
        <v>274</v>
      </c>
      <c r="B249" t="s">
        <v>30</v>
      </c>
      <c r="C249" t="s">
        <v>19</v>
      </c>
      <c r="D249" s="1">
        <v>1</v>
      </c>
      <c r="E249" t="s">
        <v>20</v>
      </c>
      <c r="F249" t="s">
        <v>21</v>
      </c>
      <c r="G249">
        <v>10000</v>
      </c>
      <c r="H249">
        <v>0</v>
      </c>
      <c r="I249">
        <v>70</v>
      </c>
      <c r="J249">
        <v>360</v>
      </c>
      <c r="K249">
        <v>1</v>
      </c>
      <c r="L249" t="s">
        <v>22</v>
      </c>
      <c r="M249">
        <f>Table1[[#This Row],[ApplicantIncome]]+Table1[[#This Row],[CoapplicantIncome]]</f>
        <v>10000</v>
      </c>
      <c r="N249">
        <f>Table1[[#This Row],[LoanAmount]] /Table1[[#This Row],[Total_Income ]]</f>
        <v>7.0000000000000001E-3</v>
      </c>
      <c r="O249">
        <f>Table1[[#This Row],[LoanAmount]]/Table1[[#This Row],[Loan_Amount_Term]]</f>
        <v>0.19444444444444445</v>
      </c>
      <c r="P249">
        <f>IF(Table1[[#This Row],[Total_Income ]]&gt;=AVERAGE(Table1[[#This Row],[Total_Income ]]),1,0)</f>
        <v>1</v>
      </c>
      <c r="Q249">
        <f>IF(Table1[[#This Row],[LoanAmount]]&gt;=AVERAGE(Table1[[#This Row],[LoanAmount]]),1,0)</f>
        <v>1</v>
      </c>
    </row>
    <row r="250" spans="1:17">
      <c r="A250" t="s">
        <v>275</v>
      </c>
      <c r="B250" t="s">
        <v>18</v>
      </c>
      <c r="C250" t="s">
        <v>19</v>
      </c>
      <c r="D250" s="1">
        <v>0</v>
      </c>
      <c r="E250" t="s">
        <v>27</v>
      </c>
      <c r="F250" t="s">
        <v>21</v>
      </c>
      <c r="G250">
        <v>3943</v>
      </c>
      <c r="H250">
        <v>0</v>
      </c>
      <c r="I250">
        <v>131</v>
      </c>
      <c r="J250">
        <v>360</v>
      </c>
      <c r="K250">
        <v>0</v>
      </c>
      <c r="L250" t="s">
        <v>31</v>
      </c>
      <c r="M250">
        <f>Table1[[#This Row],[ApplicantIncome]]+Table1[[#This Row],[CoapplicantIncome]]</f>
        <v>3943</v>
      </c>
      <c r="N250">
        <f>Table1[[#This Row],[LoanAmount]] /Table1[[#This Row],[Total_Income ]]</f>
        <v>3.3223433933553134E-2</v>
      </c>
      <c r="O250">
        <f>Table1[[#This Row],[LoanAmount]]/Table1[[#This Row],[Loan_Amount_Term]]</f>
        <v>0.36388888888888887</v>
      </c>
      <c r="P250">
        <f>IF(Table1[[#This Row],[Total_Income ]]&gt;=AVERAGE(Table1[[#This Row],[Total_Income ]]),1,0)</f>
        <v>1</v>
      </c>
      <c r="Q250">
        <f>IF(Table1[[#This Row],[LoanAmount]]&gt;=AVERAGE(Table1[[#This Row],[LoanAmount]]),1,0)</f>
        <v>1</v>
      </c>
    </row>
    <row r="251" spans="1:17">
      <c r="A251" t="s">
        <v>276</v>
      </c>
      <c r="B251" t="s">
        <v>30</v>
      </c>
      <c r="C251" t="s">
        <v>21</v>
      </c>
      <c r="D251" s="1">
        <v>0</v>
      </c>
      <c r="E251" t="s">
        <v>20</v>
      </c>
      <c r="F251" t="s">
        <v>21</v>
      </c>
      <c r="G251">
        <v>2925</v>
      </c>
      <c r="H251">
        <v>0</v>
      </c>
      <c r="I251">
        <v>120</v>
      </c>
      <c r="J251">
        <v>360</v>
      </c>
      <c r="K251">
        <v>1</v>
      </c>
      <c r="L251" t="s">
        <v>33</v>
      </c>
      <c r="M251">
        <f>Table1[[#This Row],[ApplicantIncome]]+Table1[[#This Row],[CoapplicantIncome]]</f>
        <v>2925</v>
      </c>
      <c r="N251">
        <f>Table1[[#This Row],[LoanAmount]] /Table1[[#This Row],[Total_Income ]]</f>
        <v>4.1025641025641026E-2</v>
      </c>
      <c r="O251">
        <f>Table1[[#This Row],[LoanAmount]]/Table1[[#This Row],[Loan_Amount_Term]]</f>
        <v>0.33333333333333331</v>
      </c>
      <c r="P251">
        <f>IF(Table1[[#This Row],[Total_Income ]]&gt;=AVERAGE(Table1[[#This Row],[Total_Income ]]),1,0)</f>
        <v>1</v>
      </c>
      <c r="Q251">
        <f>IF(Table1[[#This Row],[LoanAmount]]&gt;=AVERAGE(Table1[[#This Row],[LoanAmount]]),1,0)</f>
        <v>1</v>
      </c>
    </row>
    <row r="252" spans="1:17">
      <c r="A252" t="s">
        <v>277</v>
      </c>
      <c r="B252" t="s">
        <v>18</v>
      </c>
      <c r="C252" t="s">
        <v>19</v>
      </c>
      <c r="D252" s="1">
        <v>0</v>
      </c>
      <c r="E252" t="s">
        <v>20</v>
      </c>
      <c r="F252" t="s">
        <v>21</v>
      </c>
      <c r="G252">
        <v>3242</v>
      </c>
      <c r="H252">
        <v>437</v>
      </c>
      <c r="I252">
        <v>114</v>
      </c>
      <c r="J252">
        <v>360</v>
      </c>
      <c r="K252">
        <v>1</v>
      </c>
      <c r="L252" t="s">
        <v>22</v>
      </c>
      <c r="M252">
        <f>Table1[[#This Row],[ApplicantIncome]]+Table1[[#This Row],[CoapplicantIncome]]</f>
        <v>3679</v>
      </c>
      <c r="N252">
        <f>Table1[[#This Row],[LoanAmount]] /Table1[[#This Row],[Total_Income ]]</f>
        <v>3.0986681163359609E-2</v>
      </c>
      <c r="O252">
        <f>Table1[[#This Row],[LoanAmount]]/Table1[[#This Row],[Loan_Amount_Term]]</f>
        <v>0.31666666666666665</v>
      </c>
      <c r="P252">
        <f>IF(Table1[[#This Row],[Total_Income ]]&gt;=AVERAGE(Table1[[#This Row],[Total_Income ]]),1,0)</f>
        <v>1</v>
      </c>
      <c r="Q252">
        <f>IF(Table1[[#This Row],[LoanAmount]]&gt;=AVERAGE(Table1[[#This Row],[LoanAmount]]),1,0)</f>
        <v>1</v>
      </c>
    </row>
    <row r="253" spans="1:17">
      <c r="A253" t="s">
        <v>278</v>
      </c>
      <c r="B253" t="s">
        <v>18</v>
      </c>
      <c r="C253" t="s">
        <v>19</v>
      </c>
      <c r="D253" s="1">
        <v>0</v>
      </c>
      <c r="E253" t="s">
        <v>20</v>
      </c>
      <c r="F253" t="s">
        <v>21</v>
      </c>
      <c r="G253">
        <v>3863</v>
      </c>
      <c r="H253">
        <v>0</v>
      </c>
      <c r="I253">
        <v>123</v>
      </c>
      <c r="J253">
        <v>360</v>
      </c>
      <c r="K253">
        <v>1</v>
      </c>
      <c r="L253" t="s">
        <v>31</v>
      </c>
      <c r="M253">
        <f>Table1[[#This Row],[ApplicantIncome]]+Table1[[#This Row],[CoapplicantIncome]]</f>
        <v>3863</v>
      </c>
      <c r="N253">
        <f>Table1[[#This Row],[LoanAmount]] /Table1[[#This Row],[Total_Income ]]</f>
        <v>3.1840538441625682E-2</v>
      </c>
      <c r="O253">
        <f>Table1[[#This Row],[LoanAmount]]/Table1[[#This Row],[Loan_Amount_Term]]</f>
        <v>0.34166666666666667</v>
      </c>
      <c r="P253">
        <f>IF(Table1[[#This Row],[Total_Income ]]&gt;=AVERAGE(Table1[[#This Row],[Total_Income ]]),1,0)</f>
        <v>1</v>
      </c>
      <c r="Q253">
        <f>IF(Table1[[#This Row],[LoanAmount]]&gt;=AVERAGE(Table1[[#This Row],[LoanAmount]]),1,0)</f>
        <v>1</v>
      </c>
    </row>
    <row r="254" spans="1:17">
      <c r="A254" t="s">
        <v>279</v>
      </c>
      <c r="B254" t="s">
        <v>30</v>
      </c>
      <c r="C254" t="s">
        <v>21</v>
      </c>
      <c r="D254" s="1">
        <v>1</v>
      </c>
      <c r="E254" t="s">
        <v>20</v>
      </c>
      <c r="F254" t="s">
        <v>21</v>
      </c>
      <c r="G254">
        <v>4028</v>
      </c>
      <c r="H254">
        <v>0</v>
      </c>
      <c r="I254">
        <v>92</v>
      </c>
      <c r="J254">
        <v>360</v>
      </c>
      <c r="K254">
        <v>1</v>
      </c>
      <c r="L254" t="s">
        <v>31</v>
      </c>
      <c r="M254">
        <f>Table1[[#This Row],[ApplicantIncome]]+Table1[[#This Row],[CoapplicantIncome]]</f>
        <v>4028</v>
      </c>
      <c r="N254">
        <f>Table1[[#This Row],[LoanAmount]] /Table1[[#This Row],[Total_Income ]]</f>
        <v>2.2840119165839126E-2</v>
      </c>
      <c r="O254">
        <f>Table1[[#This Row],[LoanAmount]]/Table1[[#This Row],[Loan_Amount_Term]]</f>
        <v>0.25555555555555554</v>
      </c>
      <c r="P254">
        <f>IF(Table1[[#This Row],[Total_Income ]]&gt;=AVERAGE(Table1[[#This Row],[Total_Income ]]),1,0)</f>
        <v>1</v>
      </c>
      <c r="Q254">
        <f>IF(Table1[[#This Row],[LoanAmount]]&gt;=AVERAGE(Table1[[#This Row],[LoanAmount]]),1,0)</f>
        <v>1</v>
      </c>
    </row>
    <row r="255" spans="1:17">
      <c r="A255" t="s">
        <v>280</v>
      </c>
      <c r="B255" t="s">
        <v>18</v>
      </c>
      <c r="C255" t="s">
        <v>19</v>
      </c>
      <c r="D255" s="1" t="s">
        <v>39</v>
      </c>
      <c r="E255" t="s">
        <v>20</v>
      </c>
      <c r="F255" t="s">
        <v>21</v>
      </c>
      <c r="G255">
        <v>4010</v>
      </c>
      <c r="H255">
        <v>1025</v>
      </c>
      <c r="I255">
        <v>160</v>
      </c>
      <c r="J255">
        <v>360</v>
      </c>
      <c r="K255">
        <v>0</v>
      </c>
      <c r="L255" t="s">
        <v>22</v>
      </c>
      <c r="M255">
        <f>Table1[[#This Row],[ApplicantIncome]]+Table1[[#This Row],[CoapplicantIncome]]</f>
        <v>5035</v>
      </c>
      <c r="N255">
        <f>Table1[[#This Row],[LoanAmount]] /Table1[[#This Row],[Total_Income ]]</f>
        <v>3.1777557100297914E-2</v>
      </c>
      <c r="O255">
        <f>Table1[[#This Row],[LoanAmount]]/Table1[[#This Row],[Loan_Amount_Term]]</f>
        <v>0.44444444444444442</v>
      </c>
      <c r="P255">
        <f>IF(Table1[[#This Row],[Total_Income ]]&gt;=AVERAGE(Table1[[#This Row],[Total_Income ]]),1,0)</f>
        <v>1</v>
      </c>
      <c r="Q255">
        <f>IF(Table1[[#This Row],[LoanAmount]]&gt;=AVERAGE(Table1[[#This Row],[LoanAmount]]),1,0)</f>
        <v>1</v>
      </c>
    </row>
    <row r="256" spans="1:17">
      <c r="A256" t="s">
        <v>281</v>
      </c>
      <c r="B256" t="s">
        <v>18</v>
      </c>
      <c r="C256" t="s">
        <v>19</v>
      </c>
      <c r="D256" s="1">
        <v>0</v>
      </c>
      <c r="E256" t="s">
        <v>20</v>
      </c>
      <c r="F256" t="s">
        <v>21</v>
      </c>
      <c r="G256">
        <v>3719</v>
      </c>
      <c r="H256">
        <v>1585</v>
      </c>
      <c r="I256">
        <v>151</v>
      </c>
      <c r="J256">
        <v>360</v>
      </c>
      <c r="K256">
        <v>0</v>
      </c>
      <c r="L256" t="s">
        <v>22</v>
      </c>
      <c r="M256">
        <f>Table1[[#This Row],[ApplicantIncome]]+Table1[[#This Row],[CoapplicantIncome]]</f>
        <v>5304</v>
      </c>
      <c r="N256">
        <f>Table1[[#This Row],[LoanAmount]] /Table1[[#This Row],[Total_Income ]]</f>
        <v>2.8469079939668174E-2</v>
      </c>
      <c r="O256">
        <f>Table1[[#This Row],[LoanAmount]]/Table1[[#This Row],[Loan_Amount_Term]]</f>
        <v>0.41944444444444445</v>
      </c>
      <c r="P256">
        <f>IF(Table1[[#This Row],[Total_Income ]]&gt;=AVERAGE(Table1[[#This Row],[Total_Income ]]),1,0)</f>
        <v>1</v>
      </c>
      <c r="Q256">
        <f>IF(Table1[[#This Row],[LoanAmount]]&gt;=AVERAGE(Table1[[#This Row],[LoanAmount]]),1,0)</f>
        <v>1</v>
      </c>
    </row>
    <row r="257" spans="1:17">
      <c r="A257" t="s">
        <v>282</v>
      </c>
      <c r="B257" t="s">
        <v>18</v>
      </c>
      <c r="C257" t="s">
        <v>21</v>
      </c>
      <c r="D257" s="1">
        <v>0</v>
      </c>
      <c r="E257" t="s">
        <v>20</v>
      </c>
      <c r="F257" t="s">
        <v>21</v>
      </c>
      <c r="G257">
        <v>2858</v>
      </c>
      <c r="H257">
        <v>0</v>
      </c>
      <c r="I257">
        <v>81</v>
      </c>
      <c r="J257">
        <v>360</v>
      </c>
      <c r="K257">
        <v>1</v>
      </c>
      <c r="L257" t="s">
        <v>33</v>
      </c>
      <c r="M257">
        <f>Table1[[#This Row],[ApplicantIncome]]+Table1[[#This Row],[CoapplicantIncome]]</f>
        <v>2858</v>
      </c>
      <c r="N257">
        <f>Table1[[#This Row],[LoanAmount]] /Table1[[#This Row],[Total_Income ]]</f>
        <v>2.8341497550734781E-2</v>
      </c>
      <c r="O257">
        <f>Table1[[#This Row],[LoanAmount]]/Table1[[#This Row],[Loan_Amount_Term]]</f>
        <v>0.22500000000000001</v>
      </c>
      <c r="P257">
        <f>IF(Table1[[#This Row],[Total_Income ]]&gt;=AVERAGE(Table1[[#This Row],[Total_Income ]]),1,0)</f>
        <v>1</v>
      </c>
      <c r="Q257">
        <f>IF(Table1[[#This Row],[LoanAmount]]&gt;=AVERAGE(Table1[[#This Row],[LoanAmount]]),1,0)</f>
        <v>1</v>
      </c>
    </row>
    <row r="258" spans="1:17">
      <c r="A258" t="s">
        <v>283</v>
      </c>
      <c r="B258" t="s">
        <v>18</v>
      </c>
      <c r="C258" t="s">
        <v>19</v>
      </c>
      <c r="D258" s="1">
        <v>1</v>
      </c>
      <c r="E258" t="s">
        <v>20</v>
      </c>
      <c r="F258" t="s">
        <v>21</v>
      </c>
      <c r="G258">
        <v>3833</v>
      </c>
      <c r="H258">
        <v>0</v>
      </c>
      <c r="I258">
        <v>171</v>
      </c>
      <c r="J258">
        <v>360</v>
      </c>
      <c r="K258">
        <v>1</v>
      </c>
      <c r="L258" t="s">
        <v>33</v>
      </c>
      <c r="M258">
        <f>Table1[[#This Row],[ApplicantIncome]]+Table1[[#This Row],[CoapplicantIncome]]</f>
        <v>3833</v>
      </c>
      <c r="N258">
        <f>Table1[[#This Row],[LoanAmount]] /Table1[[#This Row],[Total_Income ]]</f>
        <v>4.4612575006522305E-2</v>
      </c>
      <c r="O258">
        <f>Table1[[#This Row],[LoanAmount]]/Table1[[#This Row],[Loan_Amount_Term]]</f>
        <v>0.47499999999999998</v>
      </c>
      <c r="P258">
        <f>IF(Table1[[#This Row],[Total_Income ]]&gt;=AVERAGE(Table1[[#This Row],[Total_Income ]]),1,0)</f>
        <v>1</v>
      </c>
      <c r="Q258">
        <f>IF(Table1[[#This Row],[LoanAmount]]&gt;=AVERAGE(Table1[[#This Row],[LoanAmount]]),1,0)</f>
        <v>1</v>
      </c>
    </row>
    <row r="259" spans="1:17">
      <c r="A259" t="s">
        <v>284</v>
      </c>
      <c r="B259" t="s">
        <v>18</v>
      </c>
      <c r="C259" t="s">
        <v>19</v>
      </c>
      <c r="D259" s="1">
        <v>2</v>
      </c>
      <c r="E259" t="s">
        <v>20</v>
      </c>
      <c r="F259" t="s">
        <v>19</v>
      </c>
      <c r="G259">
        <v>3333</v>
      </c>
      <c r="H259">
        <v>4288</v>
      </c>
      <c r="I259">
        <v>110</v>
      </c>
      <c r="J259">
        <v>360</v>
      </c>
      <c r="K259">
        <v>1</v>
      </c>
      <c r="L259" t="s">
        <v>22</v>
      </c>
      <c r="M259">
        <f>Table1[[#This Row],[ApplicantIncome]]+Table1[[#This Row],[CoapplicantIncome]]</f>
        <v>7621</v>
      </c>
      <c r="N259">
        <f>Table1[[#This Row],[LoanAmount]] /Table1[[#This Row],[Total_Income ]]</f>
        <v>1.4433801338407033E-2</v>
      </c>
      <c r="O259">
        <f>Table1[[#This Row],[LoanAmount]]/Table1[[#This Row],[Loan_Amount_Term]]</f>
        <v>0.30555555555555558</v>
      </c>
      <c r="P259">
        <f>IF(Table1[[#This Row],[Total_Income ]]&gt;=AVERAGE(Table1[[#This Row],[Total_Income ]]),1,0)</f>
        <v>1</v>
      </c>
      <c r="Q259">
        <f>IF(Table1[[#This Row],[LoanAmount]]&gt;=AVERAGE(Table1[[#This Row],[LoanAmount]]),1,0)</f>
        <v>1</v>
      </c>
    </row>
    <row r="260" spans="1:17">
      <c r="A260" t="s">
        <v>285</v>
      </c>
      <c r="B260" t="s">
        <v>18</v>
      </c>
      <c r="C260" t="s">
        <v>19</v>
      </c>
      <c r="D260" s="1">
        <v>1</v>
      </c>
      <c r="E260" t="s">
        <v>20</v>
      </c>
      <c r="F260" t="s">
        <v>21</v>
      </c>
      <c r="G260">
        <v>3007</v>
      </c>
      <c r="H260">
        <v>3725</v>
      </c>
      <c r="I260">
        <v>100</v>
      </c>
      <c r="J260">
        <v>360</v>
      </c>
      <c r="K260">
        <v>0</v>
      </c>
      <c r="L260" t="s">
        <v>33</v>
      </c>
      <c r="M260">
        <f>Table1[[#This Row],[ApplicantIncome]]+Table1[[#This Row],[CoapplicantIncome]]</f>
        <v>6732</v>
      </c>
      <c r="N260">
        <f>Table1[[#This Row],[LoanAmount]] /Table1[[#This Row],[Total_Income ]]</f>
        <v>1.4854426619132501E-2</v>
      </c>
      <c r="O260">
        <f>Table1[[#This Row],[LoanAmount]]/Table1[[#This Row],[Loan_Amount_Term]]</f>
        <v>0.27777777777777779</v>
      </c>
      <c r="P260">
        <f>IF(Table1[[#This Row],[Total_Income ]]&gt;=AVERAGE(Table1[[#This Row],[Total_Income ]]),1,0)</f>
        <v>1</v>
      </c>
      <c r="Q260">
        <f>IF(Table1[[#This Row],[LoanAmount]]&gt;=AVERAGE(Table1[[#This Row],[LoanAmount]]),1,0)</f>
        <v>1</v>
      </c>
    </row>
    <row r="261" spans="1:17">
      <c r="A261" t="s">
        <v>286</v>
      </c>
      <c r="B261" t="s">
        <v>30</v>
      </c>
      <c r="C261" t="s">
        <v>21</v>
      </c>
      <c r="D261" s="1">
        <v>1</v>
      </c>
      <c r="E261" t="s">
        <v>20</v>
      </c>
      <c r="F261" t="s">
        <v>21</v>
      </c>
      <c r="G261">
        <v>1850</v>
      </c>
      <c r="H261">
        <v>4583</v>
      </c>
      <c r="I261">
        <v>234</v>
      </c>
      <c r="J261">
        <v>360</v>
      </c>
      <c r="K261">
        <v>1</v>
      </c>
      <c r="L261" t="s">
        <v>33</v>
      </c>
      <c r="M261">
        <f>Table1[[#This Row],[ApplicantIncome]]+Table1[[#This Row],[CoapplicantIncome]]</f>
        <v>6433</v>
      </c>
      <c r="N261">
        <f>Table1[[#This Row],[LoanAmount]] /Table1[[#This Row],[Total_Income ]]</f>
        <v>3.637494170682419E-2</v>
      </c>
      <c r="O261">
        <f>Table1[[#This Row],[LoanAmount]]/Table1[[#This Row],[Loan_Amount_Term]]</f>
        <v>0.65</v>
      </c>
      <c r="P261">
        <f>IF(Table1[[#This Row],[Total_Income ]]&gt;=AVERAGE(Table1[[#This Row],[Total_Income ]]),1,0)</f>
        <v>1</v>
      </c>
      <c r="Q261">
        <f>IF(Table1[[#This Row],[LoanAmount]]&gt;=AVERAGE(Table1[[#This Row],[LoanAmount]]),1,0)</f>
        <v>1</v>
      </c>
    </row>
    <row r="262" spans="1:17">
      <c r="A262" t="s">
        <v>287</v>
      </c>
      <c r="B262" t="s">
        <v>30</v>
      </c>
      <c r="C262" t="s">
        <v>19</v>
      </c>
      <c r="D262" s="1">
        <v>2</v>
      </c>
      <c r="E262" t="s">
        <v>27</v>
      </c>
      <c r="F262" t="s">
        <v>21</v>
      </c>
      <c r="G262">
        <v>2792</v>
      </c>
      <c r="H262">
        <v>2619</v>
      </c>
      <c r="I262">
        <v>184</v>
      </c>
      <c r="J262">
        <v>480</v>
      </c>
      <c r="K262">
        <v>1</v>
      </c>
      <c r="L262" t="s">
        <v>31</v>
      </c>
      <c r="M262">
        <f>Table1[[#This Row],[ApplicantIncome]]+Table1[[#This Row],[CoapplicantIncome]]</f>
        <v>5411</v>
      </c>
      <c r="N262">
        <f>Table1[[#This Row],[LoanAmount]] /Table1[[#This Row],[Total_Income ]]</f>
        <v>3.4004805026797265E-2</v>
      </c>
      <c r="O262">
        <f>Table1[[#This Row],[LoanAmount]]/Table1[[#This Row],[Loan_Amount_Term]]</f>
        <v>0.38333333333333336</v>
      </c>
      <c r="P262">
        <f>IF(Table1[[#This Row],[Total_Income ]]&gt;=AVERAGE(Table1[[#This Row],[Total_Income ]]),1,0)</f>
        <v>1</v>
      </c>
      <c r="Q262">
        <f>IF(Table1[[#This Row],[LoanAmount]]&gt;=AVERAGE(Table1[[#This Row],[LoanAmount]]),1,0)</f>
        <v>1</v>
      </c>
    </row>
    <row r="263" spans="1:17">
      <c r="A263" t="s">
        <v>288</v>
      </c>
      <c r="B263" t="s">
        <v>18</v>
      </c>
      <c r="C263" t="s">
        <v>19</v>
      </c>
      <c r="D263" s="1">
        <v>0</v>
      </c>
      <c r="E263" t="s">
        <v>20</v>
      </c>
      <c r="F263" t="s">
        <v>21</v>
      </c>
      <c r="G263">
        <v>2982</v>
      </c>
      <c r="H263">
        <v>1550</v>
      </c>
      <c r="I263">
        <v>138</v>
      </c>
      <c r="J263">
        <v>360</v>
      </c>
      <c r="K263">
        <v>1</v>
      </c>
      <c r="L263" t="s">
        <v>31</v>
      </c>
      <c r="M263">
        <f>Table1[[#This Row],[ApplicantIncome]]+Table1[[#This Row],[CoapplicantIncome]]</f>
        <v>4532</v>
      </c>
      <c r="N263">
        <f>Table1[[#This Row],[LoanAmount]] /Table1[[#This Row],[Total_Income ]]</f>
        <v>3.0450132391879964E-2</v>
      </c>
      <c r="O263">
        <f>Table1[[#This Row],[LoanAmount]]/Table1[[#This Row],[Loan_Amount_Term]]</f>
        <v>0.38333333333333336</v>
      </c>
      <c r="P263">
        <f>IF(Table1[[#This Row],[Total_Income ]]&gt;=AVERAGE(Table1[[#This Row],[Total_Income ]]),1,0)</f>
        <v>1</v>
      </c>
      <c r="Q263">
        <f>IF(Table1[[#This Row],[LoanAmount]]&gt;=AVERAGE(Table1[[#This Row],[LoanAmount]]),1,0)</f>
        <v>1</v>
      </c>
    </row>
    <row r="264" spans="1:17">
      <c r="A264" t="s">
        <v>289</v>
      </c>
      <c r="B264" t="s">
        <v>18</v>
      </c>
      <c r="C264" t="s">
        <v>21</v>
      </c>
      <c r="D264" s="1" t="s">
        <v>39</v>
      </c>
      <c r="E264" t="s">
        <v>20</v>
      </c>
      <c r="F264" t="s">
        <v>21</v>
      </c>
      <c r="G264">
        <v>3417</v>
      </c>
      <c r="H264">
        <v>738</v>
      </c>
      <c r="I264">
        <v>112</v>
      </c>
      <c r="J264">
        <v>360</v>
      </c>
      <c r="K264">
        <v>1</v>
      </c>
      <c r="L264" t="s">
        <v>33</v>
      </c>
      <c r="M264">
        <f>Table1[[#This Row],[ApplicantIncome]]+Table1[[#This Row],[CoapplicantIncome]]</f>
        <v>4155</v>
      </c>
      <c r="N264">
        <f>Table1[[#This Row],[LoanAmount]] /Table1[[#This Row],[Total_Income ]]</f>
        <v>2.6955475330926595E-2</v>
      </c>
      <c r="O264">
        <f>Table1[[#This Row],[LoanAmount]]/Table1[[#This Row],[Loan_Amount_Term]]</f>
        <v>0.31111111111111112</v>
      </c>
      <c r="P264">
        <f>IF(Table1[[#This Row],[Total_Income ]]&gt;=AVERAGE(Table1[[#This Row],[Total_Income ]]),1,0)</f>
        <v>1</v>
      </c>
      <c r="Q264">
        <f>IF(Table1[[#This Row],[LoanAmount]]&gt;=AVERAGE(Table1[[#This Row],[LoanAmount]]),1,0)</f>
        <v>1</v>
      </c>
    </row>
    <row r="265" spans="1:17">
      <c r="A265" t="s">
        <v>290</v>
      </c>
      <c r="B265" t="s">
        <v>30</v>
      </c>
      <c r="C265" t="s">
        <v>19</v>
      </c>
      <c r="D265" s="1">
        <v>0</v>
      </c>
      <c r="E265" t="s">
        <v>20</v>
      </c>
      <c r="F265" t="s">
        <v>21</v>
      </c>
      <c r="G265">
        <v>18840</v>
      </c>
      <c r="H265">
        <v>0</v>
      </c>
      <c r="I265">
        <v>117</v>
      </c>
      <c r="J265">
        <v>360</v>
      </c>
      <c r="K265">
        <v>1</v>
      </c>
      <c r="L265" t="s">
        <v>33</v>
      </c>
      <c r="M265">
        <f>Table1[[#This Row],[ApplicantIncome]]+Table1[[#This Row],[CoapplicantIncome]]</f>
        <v>18840</v>
      </c>
      <c r="N265">
        <f>Table1[[#This Row],[LoanAmount]] /Table1[[#This Row],[Total_Income ]]</f>
        <v>6.2101910828025481E-3</v>
      </c>
      <c r="O265">
        <f>Table1[[#This Row],[LoanAmount]]/Table1[[#This Row],[Loan_Amount_Term]]</f>
        <v>0.32500000000000001</v>
      </c>
      <c r="P265">
        <f>IF(Table1[[#This Row],[Total_Income ]]&gt;=AVERAGE(Table1[[#This Row],[Total_Income ]]),1,0)</f>
        <v>1</v>
      </c>
      <c r="Q265">
        <f>IF(Table1[[#This Row],[LoanAmount]]&gt;=AVERAGE(Table1[[#This Row],[LoanAmount]]),1,0)</f>
        <v>1</v>
      </c>
    </row>
    <row r="266" spans="1:17">
      <c r="A266" t="s">
        <v>291</v>
      </c>
      <c r="B266" t="s">
        <v>30</v>
      </c>
      <c r="C266" t="s">
        <v>19</v>
      </c>
      <c r="D266" s="1">
        <v>1</v>
      </c>
      <c r="E266" t="s">
        <v>20</v>
      </c>
      <c r="F266" t="s">
        <v>21</v>
      </c>
      <c r="G266">
        <v>2995</v>
      </c>
      <c r="H266">
        <v>1120</v>
      </c>
      <c r="I266">
        <v>49</v>
      </c>
      <c r="J266">
        <v>360</v>
      </c>
      <c r="K266">
        <v>1</v>
      </c>
      <c r="L266" t="s">
        <v>33</v>
      </c>
      <c r="M266">
        <f>Table1[[#This Row],[ApplicantIncome]]+Table1[[#This Row],[CoapplicantIncome]]</f>
        <v>4115</v>
      </c>
      <c r="N266">
        <f>Table1[[#This Row],[LoanAmount]] /Table1[[#This Row],[Total_Income ]]</f>
        <v>1.1907654921020656E-2</v>
      </c>
      <c r="O266">
        <f>Table1[[#This Row],[LoanAmount]]/Table1[[#This Row],[Loan_Amount_Term]]</f>
        <v>0.1361111111111111</v>
      </c>
      <c r="P266">
        <f>IF(Table1[[#This Row],[Total_Income ]]&gt;=AVERAGE(Table1[[#This Row],[Total_Income ]]),1,0)</f>
        <v>1</v>
      </c>
      <c r="Q266">
        <f>IF(Table1[[#This Row],[LoanAmount]]&gt;=AVERAGE(Table1[[#This Row],[LoanAmount]]),1,0)</f>
        <v>1</v>
      </c>
    </row>
    <row r="267" spans="1:17">
      <c r="A267" t="s">
        <v>292</v>
      </c>
      <c r="B267" t="s">
        <v>18</v>
      </c>
      <c r="C267" t="s">
        <v>21</v>
      </c>
      <c r="D267" s="1">
        <v>2</v>
      </c>
      <c r="E267" t="s">
        <v>20</v>
      </c>
      <c r="F267" t="s">
        <v>21</v>
      </c>
      <c r="G267">
        <v>3579</v>
      </c>
      <c r="H267">
        <v>3308</v>
      </c>
      <c r="I267">
        <v>99</v>
      </c>
      <c r="J267">
        <v>360</v>
      </c>
      <c r="K267">
        <v>1</v>
      </c>
      <c r="L267" t="s">
        <v>31</v>
      </c>
      <c r="M267">
        <f>Table1[[#This Row],[ApplicantIncome]]+Table1[[#This Row],[CoapplicantIncome]]</f>
        <v>6887</v>
      </c>
      <c r="N267">
        <f>Table1[[#This Row],[LoanAmount]] /Table1[[#This Row],[Total_Income ]]</f>
        <v>1.4374909249310295E-2</v>
      </c>
      <c r="O267">
        <f>Table1[[#This Row],[LoanAmount]]/Table1[[#This Row],[Loan_Amount_Term]]</f>
        <v>0.27500000000000002</v>
      </c>
      <c r="P267">
        <f>IF(Table1[[#This Row],[Total_Income ]]&gt;=AVERAGE(Table1[[#This Row],[Total_Income ]]),1,0)</f>
        <v>1</v>
      </c>
      <c r="Q267">
        <f>IF(Table1[[#This Row],[LoanAmount]]&gt;=AVERAGE(Table1[[#This Row],[LoanAmount]]),1,0)</f>
        <v>1</v>
      </c>
    </row>
    <row r="268" spans="1:17">
      <c r="A268" t="s">
        <v>293</v>
      </c>
      <c r="B268" t="s">
        <v>18</v>
      </c>
      <c r="C268" t="s">
        <v>19</v>
      </c>
      <c r="D268" s="1">
        <v>0</v>
      </c>
      <c r="E268" t="s">
        <v>27</v>
      </c>
      <c r="F268" t="s">
        <v>21</v>
      </c>
      <c r="G268">
        <v>3835</v>
      </c>
      <c r="H268">
        <v>1400</v>
      </c>
      <c r="I268">
        <v>99</v>
      </c>
      <c r="J268">
        <v>360</v>
      </c>
      <c r="K268">
        <v>1</v>
      </c>
      <c r="L268" t="s">
        <v>22</v>
      </c>
      <c r="M268">
        <f>Table1[[#This Row],[ApplicantIncome]]+Table1[[#This Row],[CoapplicantIncome]]</f>
        <v>5235</v>
      </c>
      <c r="N268">
        <f>Table1[[#This Row],[LoanAmount]] /Table1[[#This Row],[Total_Income ]]</f>
        <v>1.8911174785100286E-2</v>
      </c>
      <c r="O268">
        <f>Table1[[#This Row],[LoanAmount]]/Table1[[#This Row],[Loan_Amount_Term]]</f>
        <v>0.27500000000000002</v>
      </c>
      <c r="P268">
        <f>IF(Table1[[#This Row],[Total_Income ]]&gt;=AVERAGE(Table1[[#This Row],[Total_Income ]]),1,0)</f>
        <v>1</v>
      </c>
      <c r="Q268">
        <f>IF(Table1[[#This Row],[LoanAmount]]&gt;=AVERAGE(Table1[[#This Row],[LoanAmount]]),1,0)</f>
        <v>1</v>
      </c>
    </row>
    <row r="269" spans="1:17">
      <c r="A269" t="s">
        <v>294</v>
      </c>
      <c r="B269" t="s">
        <v>30</v>
      </c>
      <c r="C269" t="s">
        <v>21</v>
      </c>
      <c r="D269" s="1" t="s">
        <v>39</v>
      </c>
      <c r="E269" t="s">
        <v>27</v>
      </c>
      <c r="F269" t="s">
        <v>21</v>
      </c>
      <c r="G269">
        <v>3854</v>
      </c>
      <c r="H269">
        <v>3575</v>
      </c>
      <c r="I269">
        <v>212</v>
      </c>
      <c r="J269">
        <v>360</v>
      </c>
      <c r="K269">
        <v>1</v>
      </c>
      <c r="L269" t="s">
        <v>33</v>
      </c>
      <c r="M269">
        <f>Table1[[#This Row],[ApplicantIncome]]+Table1[[#This Row],[CoapplicantIncome]]</f>
        <v>7429</v>
      </c>
      <c r="N269">
        <f>Table1[[#This Row],[LoanAmount]] /Table1[[#This Row],[Total_Income ]]</f>
        <v>2.8536815183739399E-2</v>
      </c>
      <c r="O269">
        <f>Table1[[#This Row],[LoanAmount]]/Table1[[#This Row],[Loan_Amount_Term]]</f>
        <v>0.58888888888888891</v>
      </c>
      <c r="P269">
        <f>IF(Table1[[#This Row],[Total_Income ]]&gt;=AVERAGE(Table1[[#This Row],[Total_Income ]]),1,0)</f>
        <v>1</v>
      </c>
      <c r="Q269">
        <f>IF(Table1[[#This Row],[LoanAmount]]&gt;=AVERAGE(Table1[[#This Row],[LoanAmount]]),1,0)</f>
        <v>1</v>
      </c>
    </row>
    <row r="270" spans="1:17">
      <c r="A270" t="s">
        <v>295</v>
      </c>
      <c r="B270" t="s">
        <v>18</v>
      </c>
      <c r="C270" t="s">
        <v>19</v>
      </c>
      <c r="D270" s="1">
        <v>0</v>
      </c>
      <c r="E270" t="s">
        <v>20</v>
      </c>
      <c r="F270" t="s">
        <v>21</v>
      </c>
      <c r="G270">
        <v>5833</v>
      </c>
      <c r="H270">
        <v>750</v>
      </c>
      <c r="I270">
        <v>240</v>
      </c>
      <c r="J270">
        <v>360</v>
      </c>
      <c r="K270">
        <v>1</v>
      </c>
      <c r="L270" t="s">
        <v>33</v>
      </c>
      <c r="M270">
        <f>Table1[[#This Row],[ApplicantIncome]]+Table1[[#This Row],[CoapplicantIncome]]</f>
        <v>6583</v>
      </c>
      <c r="N270">
        <f>Table1[[#This Row],[LoanAmount]] /Table1[[#This Row],[Total_Income ]]</f>
        <v>3.6457542154033115E-2</v>
      </c>
      <c r="O270">
        <f>Table1[[#This Row],[LoanAmount]]/Table1[[#This Row],[Loan_Amount_Term]]</f>
        <v>0.66666666666666663</v>
      </c>
      <c r="P270">
        <f>IF(Table1[[#This Row],[Total_Income ]]&gt;=AVERAGE(Table1[[#This Row],[Total_Income ]]),1,0)</f>
        <v>1</v>
      </c>
      <c r="Q270">
        <f>IF(Table1[[#This Row],[LoanAmount]]&gt;=AVERAGE(Table1[[#This Row],[LoanAmount]]),1,0)</f>
        <v>1</v>
      </c>
    </row>
    <row r="271" spans="1:17">
      <c r="A271" t="s">
        <v>296</v>
      </c>
      <c r="B271" t="s">
        <v>18</v>
      </c>
      <c r="C271" t="s">
        <v>21</v>
      </c>
      <c r="D271" s="1">
        <v>0</v>
      </c>
      <c r="E271" t="s">
        <v>20</v>
      </c>
      <c r="F271" t="s">
        <v>21</v>
      </c>
      <c r="G271">
        <v>3508</v>
      </c>
      <c r="H271">
        <v>0</v>
      </c>
      <c r="I271">
        <v>130</v>
      </c>
      <c r="J271">
        <v>360</v>
      </c>
      <c r="K271">
        <v>1</v>
      </c>
      <c r="L271" t="s">
        <v>33</v>
      </c>
      <c r="M271">
        <f>Table1[[#This Row],[ApplicantIncome]]+Table1[[#This Row],[CoapplicantIncome]]</f>
        <v>3508</v>
      </c>
      <c r="N271">
        <f>Table1[[#This Row],[LoanAmount]] /Table1[[#This Row],[Total_Income ]]</f>
        <v>3.7058152793614595E-2</v>
      </c>
      <c r="O271">
        <f>Table1[[#This Row],[LoanAmount]]/Table1[[#This Row],[Loan_Amount_Term]]</f>
        <v>0.3611111111111111</v>
      </c>
      <c r="P271">
        <f>IF(Table1[[#This Row],[Total_Income ]]&gt;=AVERAGE(Table1[[#This Row],[Total_Income ]]),1,0)</f>
        <v>1</v>
      </c>
      <c r="Q271">
        <f>IF(Table1[[#This Row],[LoanAmount]]&gt;=AVERAGE(Table1[[#This Row],[LoanAmount]]),1,0)</f>
        <v>1</v>
      </c>
    </row>
    <row r="272" spans="1:17">
      <c r="A272" t="s">
        <v>297</v>
      </c>
      <c r="B272" t="s">
        <v>30</v>
      </c>
      <c r="C272" t="s">
        <v>19</v>
      </c>
      <c r="D272" s="1" t="s">
        <v>39</v>
      </c>
      <c r="E272" t="s">
        <v>27</v>
      </c>
      <c r="F272" t="s">
        <v>21</v>
      </c>
      <c r="G272">
        <v>1635</v>
      </c>
      <c r="H272">
        <v>2444</v>
      </c>
      <c r="I272">
        <v>94</v>
      </c>
      <c r="J272">
        <v>360</v>
      </c>
      <c r="K272">
        <v>1</v>
      </c>
      <c r="L272" t="s">
        <v>22</v>
      </c>
      <c r="M272">
        <f>Table1[[#This Row],[ApplicantIncome]]+Table1[[#This Row],[CoapplicantIncome]]</f>
        <v>4079</v>
      </c>
      <c r="N272">
        <f>Table1[[#This Row],[LoanAmount]] /Table1[[#This Row],[Total_Income ]]</f>
        <v>2.3044863937239521E-2</v>
      </c>
      <c r="O272">
        <f>Table1[[#This Row],[LoanAmount]]/Table1[[#This Row],[Loan_Amount_Term]]</f>
        <v>0.26111111111111113</v>
      </c>
      <c r="P272">
        <f>IF(Table1[[#This Row],[Total_Income ]]&gt;=AVERAGE(Table1[[#This Row],[Total_Income ]]),1,0)</f>
        <v>1</v>
      </c>
      <c r="Q272">
        <f>IF(Table1[[#This Row],[LoanAmount]]&gt;=AVERAGE(Table1[[#This Row],[LoanAmount]]),1,0)</f>
        <v>1</v>
      </c>
    </row>
    <row r="273" spans="1:17">
      <c r="A273" t="s">
        <v>298</v>
      </c>
      <c r="B273" t="s">
        <v>18</v>
      </c>
      <c r="C273" t="s">
        <v>21</v>
      </c>
      <c r="D273" s="1">
        <v>0</v>
      </c>
      <c r="E273" t="s">
        <v>20</v>
      </c>
      <c r="F273" t="s">
        <v>21</v>
      </c>
      <c r="G273">
        <v>3333</v>
      </c>
      <c r="H273">
        <v>3916</v>
      </c>
      <c r="I273">
        <v>108</v>
      </c>
      <c r="J273">
        <v>180</v>
      </c>
      <c r="K273">
        <v>0</v>
      </c>
      <c r="L273" t="s">
        <v>33</v>
      </c>
      <c r="M273">
        <f>Table1[[#This Row],[ApplicantIncome]]+Table1[[#This Row],[CoapplicantIncome]]</f>
        <v>7249</v>
      </c>
      <c r="N273">
        <f>Table1[[#This Row],[LoanAmount]] /Table1[[#This Row],[Total_Income ]]</f>
        <v>1.4898606704373017E-2</v>
      </c>
      <c r="O273">
        <f>Table1[[#This Row],[LoanAmount]]/Table1[[#This Row],[Loan_Amount_Term]]</f>
        <v>0.6</v>
      </c>
      <c r="P273">
        <f>IF(Table1[[#This Row],[Total_Income ]]&gt;=AVERAGE(Table1[[#This Row],[Total_Income ]]),1,0)</f>
        <v>1</v>
      </c>
      <c r="Q273">
        <f>IF(Table1[[#This Row],[LoanAmount]]&gt;=AVERAGE(Table1[[#This Row],[LoanAmount]]),1,0)</f>
        <v>1</v>
      </c>
    </row>
    <row r="274" spans="1:17">
      <c r="A274" t="s">
        <v>299</v>
      </c>
      <c r="B274" t="s">
        <v>18</v>
      </c>
      <c r="C274" t="s">
        <v>21</v>
      </c>
      <c r="D274" s="1">
        <v>0</v>
      </c>
      <c r="E274" t="s">
        <v>20</v>
      </c>
      <c r="F274" t="s">
        <v>21</v>
      </c>
      <c r="G274">
        <v>24797</v>
      </c>
      <c r="H274">
        <v>0</v>
      </c>
      <c r="I274">
        <v>144</v>
      </c>
      <c r="J274">
        <v>360</v>
      </c>
      <c r="K274">
        <v>1</v>
      </c>
      <c r="L274" t="s">
        <v>31</v>
      </c>
      <c r="M274">
        <f>Table1[[#This Row],[ApplicantIncome]]+Table1[[#This Row],[CoapplicantIncome]]</f>
        <v>24797</v>
      </c>
      <c r="N274">
        <f>Table1[[#This Row],[LoanAmount]] /Table1[[#This Row],[Total_Income ]]</f>
        <v>5.8071540912207125E-3</v>
      </c>
      <c r="O274">
        <f>Table1[[#This Row],[LoanAmount]]/Table1[[#This Row],[Loan_Amount_Term]]</f>
        <v>0.4</v>
      </c>
      <c r="P274">
        <f>IF(Table1[[#This Row],[Total_Income ]]&gt;=AVERAGE(Table1[[#This Row],[Total_Income ]]),1,0)</f>
        <v>1</v>
      </c>
      <c r="Q274">
        <f>IF(Table1[[#This Row],[LoanAmount]]&gt;=AVERAGE(Table1[[#This Row],[LoanAmount]]),1,0)</f>
        <v>1</v>
      </c>
    </row>
    <row r="275" spans="1:17">
      <c r="A275" t="s">
        <v>300</v>
      </c>
      <c r="B275" t="s">
        <v>18</v>
      </c>
      <c r="C275" t="s">
        <v>19</v>
      </c>
      <c r="D275" s="1">
        <v>0</v>
      </c>
      <c r="E275" t="s">
        <v>20</v>
      </c>
      <c r="F275" t="s">
        <v>21</v>
      </c>
      <c r="G275">
        <v>5667</v>
      </c>
      <c r="H275">
        <v>440</v>
      </c>
      <c r="I275">
        <v>110</v>
      </c>
      <c r="J275">
        <v>360</v>
      </c>
      <c r="K275">
        <v>1</v>
      </c>
      <c r="L275" t="s">
        <v>31</v>
      </c>
      <c r="M275">
        <f>Table1[[#This Row],[ApplicantIncome]]+Table1[[#This Row],[CoapplicantIncome]]</f>
        <v>6107</v>
      </c>
      <c r="N275">
        <f>Table1[[#This Row],[LoanAmount]] /Table1[[#This Row],[Total_Income ]]</f>
        <v>1.8012117242508598E-2</v>
      </c>
      <c r="O275">
        <f>Table1[[#This Row],[LoanAmount]]/Table1[[#This Row],[Loan_Amount_Term]]</f>
        <v>0.30555555555555558</v>
      </c>
      <c r="P275">
        <f>IF(Table1[[#This Row],[Total_Income ]]&gt;=AVERAGE(Table1[[#This Row],[Total_Income ]]),1,0)</f>
        <v>1</v>
      </c>
      <c r="Q275">
        <f>IF(Table1[[#This Row],[LoanAmount]]&gt;=AVERAGE(Table1[[#This Row],[LoanAmount]]),1,0)</f>
        <v>1</v>
      </c>
    </row>
    <row r="276" spans="1:17">
      <c r="A276" t="s">
        <v>301</v>
      </c>
      <c r="B276" t="s">
        <v>30</v>
      </c>
      <c r="C276" t="s">
        <v>21</v>
      </c>
      <c r="D276" s="1">
        <v>0</v>
      </c>
      <c r="E276" t="s">
        <v>20</v>
      </c>
      <c r="F276" t="s">
        <v>21</v>
      </c>
      <c r="G276">
        <v>3500</v>
      </c>
      <c r="H276">
        <v>0</v>
      </c>
      <c r="I276">
        <v>176</v>
      </c>
      <c r="J276">
        <v>360</v>
      </c>
      <c r="K276">
        <v>1</v>
      </c>
      <c r="L276" t="s">
        <v>31</v>
      </c>
      <c r="M276">
        <f>Table1[[#This Row],[ApplicantIncome]]+Table1[[#This Row],[CoapplicantIncome]]</f>
        <v>3500</v>
      </c>
      <c r="N276">
        <f>Table1[[#This Row],[LoanAmount]] /Table1[[#This Row],[Total_Income ]]</f>
        <v>5.0285714285714288E-2</v>
      </c>
      <c r="O276">
        <f>Table1[[#This Row],[LoanAmount]]/Table1[[#This Row],[Loan_Amount_Term]]</f>
        <v>0.48888888888888887</v>
      </c>
      <c r="P276">
        <f>IF(Table1[[#This Row],[Total_Income ]]&gt;=AVERAGE(Table1[[#This Row],[Total_Income ]]),1,0)</f>
        <v>1</v>
      </c>
      <c r="Q276">
        <f>IF(Table1[[#This Row],[LoanAmount]]&gt;=AVERAGE(Table1[[#This Row],[LoanAmount]]),1,0)</f>
        <v>1</v>
      </c>
    </row>
    <row r="277" spans="1:17">
      <c r="A277" t="s">
        <v>302</v>
      </c>
      <c r="B277" t="s">
        <v>18</v>
      </c>
      <c r="C277" t="s">
        <v>19</v>
      </c>
      <c r="D277" s="1">
        <v>0</v>
      </c>
      <c r="E277" t="s">
        <v>20</v>
      </c>
      <c r="F277" t="s">
        <v>21</v>
      </c>
      <c r="G277">
        <v>2773</v>
      </c>
      <c r="H277">
        <v>1497</v>
      </c>
      <c r="I277">
        <v>185</v>
      </c>
      <c r="J277">
        <v>360</v>
      </c>
      <c r="K277">
        <v>1</v>
      </c>
      <c r="L277" t="s">
        <v>31</v>
      </c>
      <c r="M277">
        <f>Table1[[#This Row],[ApplicantIncome]]+Table1[[#This Row],[CoapplicantIncome]]</f>
        <v>4270</v>
      </c>
      <c r="N277">
        <f>Table1[[#This Row],[LoanAmount]] /Table1[[#This Row],[Total_Income ]]</f>
        <v>4.3325526932084309E-2</v>
      </c>
      <c r="O277">
        <f>Table1[[#This Row],[LoanAmount]]/Table1[[#This Row],[Loan_Amount_Term]]</f>
        <v>0.51388888888888884</v>
      </c>
      <c r="P277">
        <f>IF(Table1[[#This Row],[Total_Income ]]&gt;=AVERAGE(Table1[[#This Row],[Total_Income ]]),1,0)</f>
        <v>1</v>
      </c>
      <c r="Q277">
        <f>IF(Table1[[#This Row],[LoanAmount]]&gt;=AVERAGE(Table1[[#This Row],[LoanAmount]]),1,0)</f>
        <v>1</v>
      </c>
    </row>
    <row r="278" spans="1:17">
      <c r="A278" t="s">
        <v>303</v>
      </c>
      <c r="B278" t="s">
        <v>30</v>
      </c>
      <c r="C278" t="s">
        <v>19</v>
      </c>
      <c r="D278" s="1">
        <v>2</v>
      </c>
      <c r="E278" t="s">
        <v>20</v>
      </c>
      <c r="F278" t="s">
        <v>21</v>
      </c>
      <c r="G278">
        <v>6500</v>
      </c>
      <c r="H278">
        <v>0</v>
      </c>
      <c r="I278">
        <v>122</v>
      </c>
      <c r="J278">
        <v>360</v>
      </c>
      <c r="K278">
        <v>1</v>
      </c>
      <c r="L278" t="s">
        <v>22</v>
      </c>
      <c r="M278">
        <f>Table1[[#This Row],[ApplicantIncome]]+Table1[[#This Row],[CoapplicantIncome]]</f>
        <v>6500</v>
      </c>
      <c r="N278">
        <f>Table1[[#This Row],[LoanAmount]] /Table1[[#This Row],[Total_Income ]]</f>
        <v>1.8769230769230771E-2</v>
      </c>
      <c r="O278">
        <f>Table1[[#This Row],[LoanAmount]]/Table1[[#This Row],[Loan_Amount_Term]]</f>
        <v>0.33888888888888891</v>
      </c>
      <c r="P278">
        <f>IF(Table1[[#This Row],[Total_Income ]]&gt;=AVERAGE(Table1[[#This Row],[Total_Income ]]),1,0)</f>
        <v>1</v>
      </c>
      <c r="Q278">
        <f>IF(Table1[[#This Row],[LoanAmount]]&gt;=AVERAGE(Table1[[#This Row],[LoanAmount]]),1,0)</f>
        <v>1</v>
      </c>
    </row>
    <row r="279" spans="1:17">
      <c r="A279" t="s">
        <v>304</v>
      </c>
      <c r="B279" t="s">
        <v>18</v>
      </c>
      <c r="C279" t="s">
        <v>21</v>
      </c>
      <c r="D279" s="1">
        <v>1</v>
      </c>
      <c r="E279" t="s">
        <v>20</v>
      </c>
      <c r="F279" t="s">
        <v>21</v>
      </c>
      <c r="G279">
        <v>5769</v>
      </c>
      <c r="H279">
        <v>0</v>
      </c>
      <c r="I279">
        <v>126</v>
      </c>
      <c r="J279">
        <v>360</v>
      </c>
      <c r="K279">
        <v>1</v>
      </c>
      <c r="L279" t="s">
        <v>31</v>
      </c>
      <c r="M279">
        <f>Table1[[#This Row],[ApplicantIncome]]+Table1[[#This Row],[CoapplicantIncome]]</f>
        <v>5769</v>
      </c>
      <c r="N279">
        <f>Table1[[#This Row],[LoanAmount]] /Table1[[#This Row],[Total_Income ]]</f>
        <v>2.1840873634945399E-2</v>
      </c>
      <c r="O279">
        <f>Table1[[#This Row],[LoanAmount]]/Table1[[#This Row],[Loan_Amount_Term]]</f>
        <v>0.35</v>
      </c>
      <c r="P279">
        <f>IF(Table1[[#This Row],[Total_Income ]]&gt;=AVERAGE(Table1[[#This Row],[Total_Income ]]),1,0)</f>
        <v>1</v>
      </c>
      <c r="Q279">
        <f>IF(Table1[[#This Row],[LoanAmount]]&gt;=AVERAGE(Table1[[#This Row],[LoanAmount]]),1,0)</f>
        <v>1</v>
      </c>
    </row>
    <row r="280" spans="1:17">
      <c r="A280" t="s">
        <v>305</v>
      </c>
      <c r="B280" t="s">
        <v>18</v>
      </c>
      <c r="C280" t="s">
        <v>19</v>
      </c>
      <c r="D280" s="1">
        <v>0</v>
      </c>
      <c r="E280" t="s">
        <v>27</v>
      </c>
      <c r="F280" t="s">
        <v>21</v>
      </c>
      <c r="G280">
        <v>3634</v>
      </c>
      <c r="H280">
        <v>910</v>
      </c>
      <c r="I280">
        <v>135</v>
      </c>
      <c r="J280">
        <v>360</v>
      </c>
      <c r="K280">
        <v>1</v>
      </c>
      <c r="L280" t="s">
        <v>31</v>
      </c>
      <c r="M280">
        <f>Table1[[#This Row],[ApplicantIncome]]+Table1[[#This Row],[CoapplicantIncome]]</f>
        <v>4544</v>
      </c>
      <c r="N280">
        <f>Table1[[#This Row],[LoanAmount]] /Table1[[#This Row],[Total_Income ]]</f>
        <v>2.970950704225352E-2</v>
      </c>
      <c r="O280">
        <f>Table1[[#This Row],[LoanAmount]]/Table1[[#This Row],[Loan_Amount_Term]]</f>
        <v>0.375</v>
      </c>
      <c r="P280">
        <f>IF(Table1[[#This Row],[Total_Income ]]&gt;=AVERAGE(Table1[[#This Row],[Total_Income ]]),1,0)</f>
        <v>1</v>
      </c>
      <c r="Q280">
        <f>IF(Table1[[#This Row],[LoanAmount]]&gt;=AVERAGE(Table1[[#This Row],[LoanAmount]]),1,0)</f>
        <v>1</v>
      </c>
    </row>
    <row r="281" spans="1:17">
      <c r="A281" t="s">
        <v>306</v>
      </c>
      <c r="B281" t="s">
        <v>18</v>
      </c>
      <c r="C281" t="s">
        <v>21</v>
      </c>
      <c r="D281" s="1">
        <v>0</v>
      </c>
      <c r="E281" t="s">
        <v>20</v>
      </c>
      <c r="F281" t="s">
        <v>21</v>
      </c>
      <c r="G281">
        <v>29167</v>
      </c>
      <c r="H281">
        <v>0</v>
      </c>
      <c r="I281">
        <v>122</v>
      </c>
      <c r="J281">
        <v>360</v>
      </c>
      <c r="K281">
        <v>0</v>
      </c>
      <c r="L281" t="s">
        <v>31</v>
      </c>
      <c r="M281">
        <f>Table1[[#This Row],[ApplicantIncome]]+Table1[[#This Row],[CoapplicantIncome]]</f>
        <v>29167</v>
      </c>
      <c r="N281">
        <f>Table1[[#This Row],[LoanAmount]] /Table1[[#This Row],[Total_Income ]]</f>
        <v>4.1828093393218363E-3</v>
      </c>
      <c r="O281">
        <f>Table1[[#This Row],[LoanAmount]]/Table1[[#This Row],[Loan_Amount_Term]]</f>
        <v>0.33888888888888891</v>
      </c>
      <c r="P281">
        <f>IF(Table1[[#This Row],[Total_Income ]]&gt;=AVERAGE(Table1[[#This Row],[Total_Income ]]),1,0)</f>
        <v>1</v>
      </c>
      <c r="Q281">
        <f>IF(Table1[[#This Row],[LoanAmount]]&gt;=AVERAGE(Table1[[#This Row],[LoanAmount]]),1,0)</f>
        <v>1</v>
      </c>
    </row>
    <row r="282" spans="1:17">
      <c r="A282" t="s">
        <v>307</v>
      </c>
      <c r="B282" t="s">
        <v>18</v>
      </c>
      <c r="C282" t="s">
        <v>21</v>
      </c>
      <c r="D282" s="1">
        <v>0</v>
      </c>
      <c r="E282" t="s">
        <v>20</v>
      </c>
      <c r="F282" t="s">
        <v>19</v>
      </c>
      <c r="G282">
        <v>2166</v>
      </c>
      <c r="H282">
        <v>2057</v>
      </c>
      <c r="I282">
        <v>460</v>
      </c>
      <c r="J282">
        <v>360</v>
      </c>
      <c r="K282">
        <v>1</v>
      </c>
      <c r="L282" t="s">
        <v>31</v>
      </c>
      <c r="M282">
        <f>Table1[[#This Row],[ApplicantIncome]]+Table1[[#This Row],[CoapplicantIncome]]</f>
        <v>4223</v>
      </c>
      <c r="N282">
        <f>Table1[[#This Row],[LoanAmount]] /Table1[[#This Row],[Total_Income ]]</f>
        <v>0.10892730286526166</v>
      </c>
      <c r="O282">
        <f>Table1[[#This Row],[LoanAmount]]/Table1[[#This Row],[Loan_Amount_Term]]</f>
        <v>1.2777777777777777</v>
      </c>
      <c r="P282">
        <f>IF(Table1[[#This Row],[Total_Income ]]&gt;=AVERAGE(Table1[[#This Row],[Total_Income ]]),1,0)</f>
        <v>1</v>
      </c>
      <c r="Q282">
        <f>IF(Table1[[#This Row],[LoanAmount]]&gt;=AVERAGE(Table1[[#This Row],[LoanAmount]]),1,0)</f>
        <v>1</v>
      </c>
    </row>
    <row r="283" spans="1:17">
      <c r="A283" t="s">
        <v>308</v>
      </c>
      <c r="B283" t="s">
        <v>18</v>
      </c>
      <c r="C283" t="s">
        <v>19</v>
      </c>
      <c r="D283" s="1">
        <v>1</v>
      </c>
      <c r="E283" t="s">
        <v>20</v>
      </c>
      <c r="F283" t="s">
        <v>19</v>
      </c>
      <c r="G283">
        <v>5000</v>
      </c>
      <c r="H283">
        <v>0</v>
      </c>
      <c r="I283">
        <v>297</v>
      </c>
      <c r="J283">
        <v>360</v>
      </c>
      <c r="K283">
        <v>1</v>
      </c>
      <c r="L283" t="s">
        <v>33</v>
      </c>
      <c r="M283">
        <f>Table1[[#This Row],[ApplicantIncome]]+Table1[[#This Row],[CoapplicantIncome]]</f>
        <v>5000</v>
      </c>
      <c r="N283">
        <f>Table1[[#This Row],[LoanAmount]] /Table1[[#This Row],[Total_Income ]]</f>
        <v>5.9400000000000001E-2</v>
      </c>
      <c r="O283">
        <f>Table1[[#This Row],[LoanAmount]]/Table1[[#This Row],[Loan_Amount_Term]]</f>
        <v>0.82499999999999996</v>
      </c>
      <c r="P283">
        <f>IF(Table1[[#This Row],[Total_Income ]]&gt;=AVERAGE(Table1[[#This Row],[Total_Income ]]),1,0)</f>
        <v>1</v>
      </c>
      <c r="Q283">
        <f>IF(Table1[[#This Row],[LoanAmount]]&gt;=AVERAGE(Table1[[#This Row],[LoanAmount]]),1,0)</f>
        <v>1</v>
      </c>
    </row>
    <row r="284" spans="1:17">
      <c r="A284" t="s">
        <v>309</v>
      </c>
      <c r="B284" t="s">
        <v>18</v>
      </c>
      <c r="C284" t="s">
        <v>21</v>
      </c>
      <c r="D284" s="1">
        <v>0</v>
      </c>
      <c r="E284" t="s">
        <v>20</v>
      </c>
      <c r="F284" t="s">
        <v>19</v>
      </c>
      <c r="G284">
        <v>5530</v>
      </c>
      <c r="H284">
        <v>0</v>
      </c>
      <c r="I284">
        <v>140</v>
      </c>
      <c r="J284">
        <v>360</v>
      </c>
      <c r="K284">
        <v>1</v>
      </c>
      <c r="L284" t="s">
        <v>22</v>
      </c>
      <c r="M284">
        <f>Table1[[#This Row],[ApplicantIncome]]+Table1[[#This Row],[CoapplicantIncome]]</f>
        <v>5530</v>
      </c>
      <c r="N284">
        <f>Table1[[#This Row],[LoanAmount]] /Table1[[#This Row],[Total_Income ]]</f>
        <v>2.5316455696202531E-2</v>
      </c>
      <c r="O284">
        <f>Table1[[#This Row],[LoanAmount]]/Table1[[#This Row],[Loan_Amount_Term]]</f>
        <v>0.3888888888888889</v>
      </c>
      <c r="P284">
        <f>IF(Table1[[#This Row],[Total_Income ]]&gt;=AVERAGE(Table1[[#This Row],[Total_Income ]]),1,0)</f>
        <v>1</v>
      </c>
      <c r="Q284">
        <f>IF(Table1[[#This Row],[LoanAmount]]&gt;=AVERAGE(Table1[[#This Row],[LoanAmount]]),1,0)</f>
        <v>1</v>
      </c>
    </row>
    <row r="285" spans="1:17">
      <c r="A285" t="s">
        <v>310</v>
      </c>
      <c r="B285" t="s">
        <v>18</v>
      </c>
      <c r="C285" t="s">
        <v>21</v>
      </c>
      <c r="D285" s="1">
        <v>2</v>
      </c>
      <c r="E285" t="s">
        <v>27</v>
      </c>
      <c r="F285" t="s">
        <v>21</v>
      </c>
      <c r="G285">
        <v>9000</v>
      </c>
      <c r="H285">
        <v>0</v>
      </c>
      <c r="I285">
        <v>106</v>
      </c>
      <c r="J285">
        <v>360</v>
      </c>
      <c r="K285">
        <v>1</v>
      </c>
      <c r="L285" t="s">
        <v>33</v>
      </c>
      <c r="M285">
        <f>Table1[[#This Row],[ApplicantIncome]]+Table1[[#This Row],[CoapplicantIncome]]</f>
        <v>9000</v>
      </c>
      <c r="N285">
        <f>Table1[[#This Row],[LoanAmount]] /Table1[[#This Row],[Total_Income ]]</f>
        <v>1.1777777777777778E-2</v>
      </c>
      <c r="O285">
        <f>Table1[[#This Row],[LoanAmount]]/Table1[[#This Row],[Loan_Amount_Term]]</f>
        <v>0.29444444444444445</v>
      </c>
      <c r="P285">
        <f>IF(Table1[[#This Row],[Total_Income ]]&gt;=AVERAGE(Table1[[#This Row],[Total_Income ]]),1,0)</f>
        <v>1</v>
      </c>
      <c r="Q285">
        <f>IF(Table1[[#This Row],[LoanAmount]]&gt;=AVERAGE(Table1[[#This Row],[LoanAmount]]),1,0)</f>
        <v>1</v>
      </c>
    </row>
    <row r="286" spans="1:17">
      <c r="A286" t="s">
        <v>311</v>
      </c>
      <c r="B286" t="s">
        <v>18</v>
      </c>
      <c r="C286" t="s">
        <v>19</v>
      </c>
      <c r="D286" s="1">
        <v>0</v>
      </c>
      <c r="E286" t="s">
        <v>20</v>
      </c>
      <c r="F286" t="s">
        <v>21</v>
      </c>
      <c r="G286">
        <v>10000</v>
      </c>
      <c r="H286">
        <v>11666</v>
      </c>
      <c r="I286">
        <v>141</v>
      </c>
      <c r="J286">
        <v>360</v>
      </c>
      <c r="K286">
        <v>1</v>
      </c>
      <c r="L286" t="s">
        <v>22</v>
      </c>
      <c r="M286">
        <f>Table1[[#This Row],[ApplicantIncome]]+Table1[[#This Row],[CoapplicantIncome]]</f>
        <v>21666</v>
      </c>
      <c r="N286">
        <f>Table1[[#This Row],[LoanAmount]] /Table1[[#This Row],[Total_Income ]]</f>
        <v>6.5078925505400167E-3</v>
      </c>
      <c r="O286">
        <f>Table1[[#This Row],[LoanAmount]]/Table1[[#This Row],[Loan_Amount_Term]]</f>
        <v>0.39166666666666666</v>
      </c>
      <c r="P286">
        <f>IF(Table1[[#This Row],[Total_Income ]]&gt;=AVERAGE(Table1[[#This Row],[Total_Income ]]),1,0)</f>
        <v>1</v>
      </c>
      <c r="Q286">
        <f>IF(Table1[[#This Row],[LoanAmount]]&gt;=AVERAGE(Table1[[#This Row],[LoanAmount]]),1,0)</f>
        <v>1</v>
      </c>
    </row>
    <row r="287" spans="1:17">
      <c r="A287" t="s">
        <v>312</v>
      </c>
      <c r="B287" t="s">
        <v>30</v>
      </c>
      <c r="C287" t="s">
        <v>19</v>
      </c>
      <c r="D287" s="1">
        <v>0</v>
      </c>
      <c r="E287" t="s">
        <v>20</v>
      </c>
      <c r="F287" t="s">
        <v>19</v>
      </c>
      <c r="G287">
        <v>8750</v>
      </c>
      <c r="H287">
        <v>0</v>
      </c>
      <c r="I287">
        <v>170</v>
      </c>
      <c r="J287">
        <v>360</v>
      </c>
      <c r="K287">
        <v>1</v>
      </c>
      <c r="L287" t="s">
        <v>22</v>
      </c>
      <c r="M287">
        <f>Table1[[#This Row],[ApplicantIncome]]+Table1[[#This Row],[CoapplicantIncome]]</f>
        <v>8750</v>
      </c>
      <c r="N287">
        <f>Table1[[#This Row],[LoanAmount]] /Table1[[#This Row],[Total_Income ]]</f>
        <v>1.9428571428571427E-2</v>
      </c>
      <c r="O287">
        <f>Table1[[#This Row],[LoanAmount]]/Table1[[#This Row],[Loan_Amount_Term]]</f>
        <v>0.47222222222222221</v>
      </c>
      <c r="P287">
        <f>IF(Table1[[#This Row],[Total_Income ]]&gt;=AVERAGE(Table1[[#This Row],[Total_Income ]]),1,0)</f>
        <v>1</v>
      </c>
      <c r="Q287">
        <f>IF(Table1[[#This Row],[LoanAmount]]&gt;=AVERAGE(Table1[[#This Row],[LoanAmount]]),1,0)</f>
        <v>1</v>
      </c>
    </row>
    <row r="288" spans="1:17">
      <c r="A288" t="s">
        <v>313</v>
      </c>
      <c r="B288" t="s">
        <v>18</v>
      </c>
      <c r="C288" t="s">
        <v>19</v>
      </c>
      <c r="D288" s="1">
        <v>1</v>
      </c>
      <c r="E288" t="s">
        <v>27</v>
      </c>
      <c r="F288" t="s">
        <v>21</v>
      </c>
      <c r="G288">
        <v>2157</v>
      </c>
      <c r="H288">
        <v>2730</v>
      </c>
      <c r="I288">
        <v>145</v>
      </c>
      <c r="J288">
        <v>360</v>
      </c>
      <c r="K288">
        <v>1</v>
      </c>
      <c r="L288" t="s">
        <v>33</v>
      </c>
      <c r="M288">
        <f>Table1[[#This Row],[ApplicantIncome]]+Table1[[#This Row],[CoapplicantIncome]]</f>
        <v>4887</v>
      </c>
      <c r="N288">
        <f>Table1[[#This Row],[LoanAmount]] /Table1[[#This Row],[Total_Income ]]</f>
        <v>2.9670554532432985E-2</v>
      </c>
      <c r="O288">
        <f>Table1[[#This Row],[LoanAmount]]/Table1[[#This Row],[Loan_Amount_Term]]</f>
        <v>0.40277777777777779</v>
      </c>
      <c r="P288">
        <f>IF(Table1[[#This Row],[Total_Income ]]&gt;=AVERAGE(Table1[[#This Row],[Total_Income ]]),1,0)</f>
        <v>1</v>
      </c>
      <c r="Q288">
        <f>IF(Table1[[#This Row],[LoanAmount]]&gt;=AVERAGE(Table1[[#This Row],[LoanAmount]]),1,0)</f>
        <v>1</v>
      </c>
    </row>
    <row r="289" spans="1:17">
      <c r="A289" t="s">
        <v>314</v>
      </c>
      <c r="B289" t="s">
        <v>30</v>
      </c>
      <c r="C289" t="s">
        <v>21</v>
      </c>
      <c r="D289" s="1">
        <v>0</v>
      </c>
      <c r="E289" t="s">
        <v>20</v>
      </c>
      <c r="F289" t="s">
        <v>21</v>
      </c>
      <c r="G289">
        <v>1972</v>
      </c>
      <c r="H289">
        <v>4347</v>
      </c>
      <c r="I289">
        <v>90</v>
      </c>
      <c r="J289">
        <v>360</v>
      </c>
      <c r="K289">
        <v>1</v>
      </c>
      <c r="L289" t="s">
        <v>33</v>
      </c>
      <c r="M289">
        <f>Table1[[#This Row],[ApplicantIncome]]+Table1[[#This Row],[CoapplicantIncome]]</f>
        <v>6319</v>
      </c>
      <c r="N289">
        <f>Table1[[#This Row],[LoanAmount]] /Table1[[#This Row],[Total_Income ]]</f>
        <v>1.4242759930368729E-2</v>
      </c>
      <c r="O289">
        <f>Table1[[#This Row],[LoanAmount]]/Table1[[#This Row],[Loan_Amount_Term]]</f>
        <v>0.25</v>
      </c>
      <c r="P289">
        <f>IF(Table1[[#This Row],[Total_Income ]]&gt;=AVERAGE(Table1[[#This Row],[Total_Income ]]),1,0)</f>
        <v>1</v>
      </c>
      <c r="Q289">
        <f>IF(Table1[[#This Row],[LoanAmount]]&gt;=AVERAGE(Table1[[#This Row],[LoanAmount]]),1,0)</f>
        <v>1</v>
      </c>
    </row>
    <row r="290" spans="1:17">
      <c r="A290" t="s">
        <v>315</v>
      </c>
      <c r="B290" t="s">
        <v>18</v>
      </c>
      <c r="C290" t="s">
        <v>21</v>
      </c>
      <c r="D290" s="1">
        <v>0</v>
      </c>
      <c r="E290" t="s">
        <v>20</v>
      </c>
      <c r="F290" t="s">
        <v>21</v>
      </c>
      <c r="G290">
        <v>4983</v>
      </c>
      <c r="H290">
        <v>0</v>
      </c>
      <c r="I290">
        <v>88</v>
      </c>
      <c r="J290">
        <v>360</v>
      </c>
      <c r="K290">
        <v>0</v>
      </c>
      <c r="L290" t="s">
        <v>22</v>
      </c>
      <c r="M290">
        <f>Table1[[#This Row],[ApplicantIncome]]+Table1[[#This Row],[CoapplicantIncome]]</f>
        <v>4983</v>
      </c>
      <c r="N290">
        <f>Table1[[#This Row],[LoanAmount]] /Table1[[#This Row],[Total_Income ]]</f>
        <v>1.7660044150110375E-2</v>
      </c>
      <c r="O290">
        <f>Table1[[#This Row],[LoanAmount]]/Table1[[#This Row],[Loan_Amount_Term]]</f>
        <v>0.24444444444444444</v>
      </c>
      <c r="P290">
        <f>IF(Table1[[#This Row],[Total_Income ]]&gt;=AVERAGE(Table1[[#This Row],[Total_Income ]]),1,0)</f>
        <v>1</v>
      </c>
      <c r="Q290">
        <f>IF(Table1[[#This Row],[LoanAmount]]&gt;=AVERAGE(Table1[[#This Row],[LoanAmount]]),1,0)</f>
        <v>1</v>
      </c>
    </row>
    <row r="291" spans="1:17">
      <c r="A291" t="s">
        <v>316</v>
      </c>
      <c r="B291" t="s">
        <v>30</v>
      </c>
      <c r="C291" t="s">
        <v>19</v>
      </c>
      <c r="D291" s="1">
        <v>0</v>
      </c>
      <c r="E291" t="s">
        <v>20</v>
      </c>
      <c r="F291" t="s">
        <v>21</v>
      </c>
      <c r="G291">
        <v>8333</v>
      </c>
      <c r="H291">
        <v>4000</v>
      </c>
      <c r="I291">
        <v>128</v>
      </c>
      <c r="J291">
        <v>480</v>
      </c>
      <c r="K291">
        <v>1</v>
      </c>
      <c r="L291" t="s">
        <v>22</v>
      </c>
      <c r="M291">
        <f>Table1[[#This Row],[ApplicantIncome]]+Table1[[#This Row],[CoapplicantIncome]]</f>
        <v>12333</v>
      </c>
      <c r="N291">
        <f>Table1[[#This Row],[LoanAmount]] /Table1[[#This Row],[Total_Income ]]</f>
        <v>1.0378658882672505E-2</v>
      </c>
      <c r="O291">
        <f>Table1[[#This Row],[LoanAmount]]/Table1[[#This Row],[Loan_Amount_Term]]</f>
        <v>0.26666666666666666</v>
      </c>
      <c r="P291">
        <f>IF(Table1[[#This Row],[Total_Income ]]&gt;=AVERAGE(Table1[[#This Row],[Total_Income ]]),1,0)</f>
        <v>1</v>
      </c>
      <c r="Q291">
        <f>IF(Table1[[#This Row],[LoanAmount]]&gt;=AVERAGE(Table1[[#This Row],[LoanAmount]]),1,0)</f>
        <v>1</v>
      </c>
    </row>
    <row r="292" spans="1:17">
      <c r="A292" t="s">
        <v>317</v>
      </c>
      <c r="B292" t="s">
        <v>18</v>
      </c>
      <c r="C292" t="s">
        <v>19</v>
      </c>
      <c r="D292" s="1">
        <v>2</v>
      </c>
      <c r="E292" t="s">
        <v>20</v>
      </c>
      <c r="F292" t="s">
        <v>21</v>
      </c>
      <c r="G292">
        <v>3667</v>
      </c>
      <c r="H292">
        <v>2000</v>
      </c>
      <c r="I292">
        <v>84</v>
      </c>
      <c r="J292">
        <v>360</v>
      </c>
      <c r="K292">
        <v>1</v>
      </c>
      <c r="L292" t="s">
        <v>31</v>
      </c>
      <c r="M292">
        <f>Table1[[#This Row],[ApplicantIncome]]+Table1[[#This Row],[CoapplicantIncome]]</f>
        <v>5667</v>
      </c>
      <c r="N292">
        <f>Table1[[#This Row],[LoanAmount]] /Table1[[#This Row],[Total_Income ]]</f>
        <v>1.4822657490735839E-2</v>
      </c>
      <c r="O292">
        <f>Table1[[#This Row],[LoanAmount]]/Table1[[#This Row],[Loan_Amount_Term]]</f>
        <v>0.23333333333333334</v>
      </c>
      <c r="P292">
        <f>IF(Table1[[#This Row],[Total_Income ]]&gt;=AVERAGE(Table1[[#This Row],[Total_Income ]]),1,0)</f>
        <v>1</v>
      </c>
      <c r="Q292">
        <f>IF(Table1[[#This Row],[LoanAmount]]&gt;=AVERAGE(Table1[[#This Row],[LoanAmount]]),1,0)</f>
        <v>1</v>
      </c>
    </row>
    <row r="293" spans="1:17">
      <c r="A293" t="s">
        <v>318</v>
      </c>
      <c r="B293" t="s">
        <v>18</v>
      </c>
      <c r="C293" t="s">
        <v>19</v>
      </c>
      <c r="D293" s="1">
        <v>2</v>
      </c>
      <c r="E293" t="s">
        <v>20</v>
      </c>
      <c r="F293" t="s">
        <v>21</v>
      </c>
      <c r="G293">
        <v>3166</v>
      </c>
      <c r="H293">
        <v>2833</v>
      </c>
      <c r="I293">
        <v>108</v>
      </c>
      <c r="J293">
        <v>360</v>
      </c>
      <c r="K293">
        <v>1</v>
      </c>
      <c r="L293" t="s">
        <v>22</v>
      </c>
      <c r="M293">
        <f>Table1[[#This Row],[ApplicantIncome]]+Table1[[#This Row],[CoapplicantIncome]]</f>
        <v>5999</v>
      </c>
      <c r="N293">
        <f>Table1[[#This Row],[LoanAmount]] /Table1[[#This Row],[Total_Income ]]</f>
        <v>1.8003000500083348E-2</v>
      </c>
      <c r="O293">
        <f>Table1[[#This Row],[LoanAmount]]/Table1[[#This Row],[Loan_Amount_Term]]</f>
        <v>0.3</v>
      </c>
      <c r="P293">
        <f>IF(Table1[[#This Row],[Total_Income ]]&gt;=AVERAGE(Table1[[#This Row],[Total_Income ]]),1,0)</f>
        <v>1</v>
      </c>
      <c r="Q293">
        <f>IF(Table1[[#This Row],[LoanAmount]]&gt;=AVERAGE(Table1[[#This Row],[LoanAmount]]),1,0)</f>
        <v>1</v>
      </c>
    </row>
    <row r="294" spans="1:17">
      <c r="A294" t="s">
        <v>319</v>
      </c>
      <c r="B294" t="s">
        <v>18</v>
      </c>
      <c r="C294" t="s">
        <v>21</v>
      </c>
      <c r="D294" s="1">
        <v>1</v>
      </c>
      <c r="E294" t="s">
        <v>27</v>
      </c>
      <c r="F294" t="s">
        <v>21</v>
      </c>
      <c r="G294">
        <v>3271</v>
      </c>
      <c r="H294">
        <v>0</v>
      </c>
      <c r="I294">
        <v>83</v>
      </c>
      <c r="J294">
        <v>360</v>
      </c>
      <c r="K294">
        <v>1</v>
      </c>
      <c r="L294" t="s">
        <v>33</v>
      </c>
      <c r="M294">
        <f>Table1[[#This Row],[ApplicantIncome]]+Table1[[#This Row],[CoapplicantIncome]]</f>
        <v>3271</v>
      </c>
      <c r="N294">
        <f>Table1[[#This Row],[LoanAmount]] /Table1[[#This Row],[Total_Income ]]</f>
        <v>2.5374503210027516E-2</v>
      </c>
      <c r="O294">
        <f>Table1[[#This Row],[LoanAmount]]/Table1[[#This Row],[Loan_Amount_Term]]</f>
        <v>0.23055555555555557</v>
      </c>
      <c r="P294">
        <f>IF(Table1[[#This Row],[Total_Income ]]&gt;=AVERAGE(Table1[[#This Row],[Total_Income ]]),1,0)</f>
        <v>1</v>
      </c>
      <c r="Q294">
        <f>IF(Table1[[#This Row],[LoanAmount]]&gt;=AVERAGE(Table1[[#This Row],[LoanAmount]]),1,0)</f>
        <v>1</v>
      </c>
    </row>
    <row r="295" spans="1:17">
      <c r="A295" t="s">
        <v>320</v>
      </c>
      <c r="B295" t="s">
        <v>30</v>
      </c>
      <c r="C295" t="s">
        <v>19</v>
      </c>
      <c r="D295" s="1">
        <v>1</v>
      </c>
      <c r="E295" t="s">
        <v>20</v>
      </c>
      <c r="F295" t="s">
        <v>21</v>
      </c>
      <c r="G295">
        <v>2241</v>
      </c>
      <c r="H295">
        <v>2000</v>
      </c>
      <c r="I295">
        <v>117</v>
      </c>
      <c r="J295">
        <v>360</v>
      </c>
      <c r="K295">
        <v>1</v>
      </c>
      <c r="L295" t="s">
        <v>22</v>
      </c>
      <c r="M295">
        <f>Table1[[#This Row],[ApplicantIncome]]+Table1[[#This Row],[CoapplicantIncome]]</f>
        <v>4241</v>
      </c>
      <c r="N295">
        <f>Table1[[#This Row],[LoanAmount]] /Table1[[#This Row],[Total_Income ]]</f>
        <v>2.7587833058240981E-2</v>
      </c>
      <c r="O295">
        <f>Table1[[#This Row],[LoanAmount]]/Table1[[#This Row],[Loan_Amount_Term]]</f>
        <v>0.32500000000000001</v>
      </c>
      <c r="P295">
        <f>IF(Table1[[#This Row],[Total_Income ]]&gt;=AVERAGE(Table1[[#This Row],[Total_Income ]]),1,0)</f>
        <v>1</v>
      </c>
      <c r="Q295">
        <f>IF(Table1[[#This Row],[LoanAmount]]&gt;=AVERAGE(Table1[[#This Row],[LoanAmount]]),1,0)</f>
        <v>1</v>
      </c>
    </row>
    <row r="296" spans="1:17">
      <c r="A296" t="s">
        <v>321</v>
      </c>
      <c r="B296" t="s">
        <v>18</v>
      </c>
      <c r="C296" t="s">
        <v>19</v>
      </c>
      <c r="D296" s="1">
        <v>1</v>
      </c>
      <c r="E296" t="s">
        <v>27</v>
      </c>
      <c r="F296" t="s">
        <v>21</v>
      </c>
      <c r="G296">
        <v>1792</v>
      </c>
      <c r="H296">
        <v>2565</v>
      </c>
      <c r="I296">
        <v>128</v>
      </c>
      <c r="J296">
        <v>360</v>
      </c>
      <c r="K296">
        <v>0</v>
      </c>
      <c r="L296" t="s">
        <v>22</v>
      </c>
      <c r="M296">
        <f>Table1[[#This Row],[ApplicantIncome]]+Table1[[#This Row],[CoapplicantIncome]]</f>
        <v>4357</v>
      </c>
      <c r="N296">
        <f>Table1[[#This Row],[LoanAmount]] /Table1[[#This Row],[Total_Income ]]</f>
        <v>2.937801239384898E-2</v>
      </c>
      <c r="O296">
        <f>Table1[[#This Row],[LoanAmount]]/Table1[[#This Row],[Loan_Amount_Term]]</f>
        <v>0.35555555555555557</v>
      </c>
      <c r="P296">
        <f>IF(Table1[[#This Row],[Total_Income ]]&gt;=AVERAGE(Table1[[#This Row],[Total_Income ]]),1,0)</f>
        <v>1</v>
      </c>
      <c r="Q296">
        <f>IF(Table1[[#This Row],[LoanAmount]]&gt;=AVERAGE(Table1[[#This Row],[LoanAmount]]),1,0)</f>
        <v>1</v>
      </c>
    </row>
    <row r="297" spans="1:17">
      <c r="A297" t="s">
        <v>322</v>
      </c>
      <c r="B297" t="s">
        <v>18</v>
      </c>
      <c r="C297" t="s">
        <v>19</v>
      </c>
      <c r="D297" s="1">
        <v>0</v>
      </c>
      <c r="E297" t="s">
        <v>20</v>
      </c>
      <c r="F297" t="s">
        <v>21</v>
      </c>
      <c r="G297">
        <v>2666</v>
      </c>
      <c r="H297">
        <v>0</v>
      </c>
      <c r="I297">
        <v>75</v>
      </c>
      <c r="J297">
        <v>360</v>
      </c>
      <c r="K297">
        <v>1</v>
      </c>
      <c r="L297" t="s">
        <v>31</v>
      </c>
      <c r="M297">
        <f>Table1[[#This Row],[ApplicantIncome]]+Table1[[#This Row],[CoapplicantIncome]]</f>
        <v>2666</v>
      </c>
      <c r="N297">
        <f>Table1[[#This Row],[LoanAmount]] /Table1[[#This Row],[Total_Income ]]</f>
        <v>2.8132033008252063E-2</v>
      </c>
      <c r="O297">
        <f>Table1[[#This Row],[LoanAmount]]/Table1[[#This Row],[Loan_Amount_Term]]</f>
        <v>0.20833333333333334</v>
      </c>
      <c r="P297">
        <f>IF(Table1[[#This Row],[Total_Income ]]&gt;=AVERAGE(Table1[[#This Row],[Total_Income ]]),1,0)</f>
        <v>1</v>
      </c>
      <c r="Q297">
        <f>IF(Table1[[#This Row],[LoanAmount]]&gt;=AVERAGE(Table1[[#This Row],[LoanAmount]]),1,0)</f>
        <v>1</v>
      </c>
    </row>
    <row r="298" spans="1:17">
      <c r="A298" t="s">
        <v>323</v>
      </c>
      <c r="B298" t="s">
        <v>18</v>
      </c>
      <c r="C298" t="s">
        <v>21</v>
      </c>
      <c r="D298" s="1">
        <v>2</v>
      </c>
      <c r="E298" t="s">
        <v>20</v>
      </c>
      <c r="F298" t="s">
        <v>21</v>
      </c>
      <c r="G298">
        <v>6478</v>
      </c>
      <c r="H298">
        <v>0</v>
      </c>
      <c r="I298">
        <v>125</v>
      </c>
      <c r="J298">
        <v>360</v>
      </c>
      <c r="K298">
        <v>1</v>
      </c>
      <c r="L298" t="s">
        <v>31</v>
      </c>
      <c r="M298">
        <f>Table1[[#This Row],[ApplicantIncome]]+Table1[[#This Row],[CoapplicantIncome]]</f>
        <v>6478</v>
      </c>
      <c r="N298">
        <f>Table1[[#This Row],[LoanAmount]] /Table1[[#This Row],[Total_Income ]]</f>
        <v>1.9296079036739733E-2</v>
      </c>
      <c r="O298">
        <f>Table1[[#This Row],[LoanAmount]]/Table1[[#This Row],[Loan_Amount_Term]]</f>
        <v>0.34722222222222221</v>
      </c>
      <c r="P298">
        <f>IF(Table1[[#This Row],[Total_Income ]]&gt;=AVERAGE(Table1[[#This Row],[Total_Income ]]),1,0)</f>
        <v>1</v>
      </c>
      <c r="Q298">
        <f>IF(Table1[[#This Row],[LoanAmount]]&gt;=AVERAGE(Table1[[#This Row],[LoanAmount]]),1,0)</f>
        <v>1</v>
      </c>
    </row>
    <row r="299" spans="1:17">
      <c r="A299" t="s">
        <v>324</v>
      </c>
      <c r="B299" t="s">
        <v>18</v>
      </c>
      <c r="C299" t="s">
        <v>21</v>
      </c>
      <c r="D299" s="1">
        <v>2</v>
      </c>
      <c r="E299" t="s">
        <v>27</v>
      </c>
      <c r="F299" t="s">
        <v>21</v>
      </c>
      <c r="G299">
        <v>3808</v>
      </c>
      <c r="H299">
        <v>0</v>
      </c>
      <c r="I299">
        <v>177</v>
      </c>
      <c r="J299">
        <v>360</v>
      </c>
      <c r="K299">
        <v>1</v>
      </c>
      <c r="L299" t="s">
        <v>33</v>
      </c>
      <c r="M299">
        <f>Table1[[#This Row],[ApplicantIncome]]+Table1[[#This Row],[CoapplicantIncome]]</f>
        <v>3808</v>
      </c>
      <c r="N299">
        <f>Table1[[#This Row],[LoanAmount]] /Table1[[#This Row],[Total_Income ]]</f>
        <v>4.6481092436974791E-2</v>
      </c>
      <c r="O299">
        <f>Table1[[#This Row],[LoanAmount]]/Table1[[#This Row],[Loan_Amount_Term]]</f>
        <v>0.49166666666666664</v>
      </c>
      <c r="P299">
        <f>IF(Table1[[#This Row],[Total_Income ]]&gt;=AVERAGE(Table1[[#This Row],[Total_Income ]]),1,0)</f>
        <v>1</v>
      </c>
      <c r="Q299">
        <f>IF(Table1[[#This Row],[LoanAmount]]&gt;=AVERAGE(Table1[[#This Row],[LoanAmount]]),1,0)</f>
        <v>1</v>
      </c>
    </row>
    <row r="300" spans="1:17">
      <c r="A300" t="s">
        <v>325</v>
      </c>
      <c r="B300" t="s">
        <v>18</v>
      </c>
      <c r="C300" t="s">
        <v>19</v>
      </c>
      <c r="D300" s="1">
        <v>2</v>
      </c>
      <c r="E300" t="s">
        <v>27</v>
      </c>
      <c r="F300" t="s">
        <v>21</v>
      </c>
      <c r="G300">
        <v>3729</v>
      </c>
      <c r="H300">
        <v>0</v>
      </c>
      <c r="I300">
        <v>68</v>
      </c>
      <c r="J300">
        <v>360</v>
      </c>
      <c r="K300">
        <v>1</v>
      </c>
      <c r="L300" t="s">
        <v>31</v>
      </c>
      <c r="M300">
        <f>Table1[[#This Row],[ApplicantIncome]]+Table1[[#This Row],[CoapplicantIncome]]</f>
        <v>3729</v>
      </c>
      <c r="N300">
        <f>Table1[[#This Row],[LoanAmount]] /Table1[[#This Row],[Total_Income ]]</f>
        <v>1.8235451863770447E-2</v>
      </c>
      <c r="O300">
        <f>Table1[[#This Row],[LoanAmount]]/Table1[[#This Row],[Loan_Amount_Term]]</f>
        <v>0.18888888888888888</v>
      </c>
      <c r="P300">
        <f>IF(Table1[[#This Row],[Total_Income ]]&gt;=AVERAGE(Table1[[#This Row],[Total_Income ]]),1,0)</f>
        <v>1</v>
      </c>
      <c r="Q300">
        <f>IF(Table1[[#This Row],[LoanAmount]]&gt;=AVERAGE(Table1[[#This Row],[LoanAmount]]),1,0)</f>
        <v>1</v>
      </c>
    </row>
    <row r="301" spans="1:17">
      <c r="A301" t="s">
        <v>326</v>
      </c>
      <c r="B301" t="s">
        <v>18</v>
      </c>
      <c r="C301" t="s">
        <v>19</v>
      </c>
      <c r="D301" s="1">
        <v>1</v>
      </c>
      <c r="E301" t="s">
        <v>20</v>
      </c>
      <c r="F301" t="s">
        <v>21</v>
      </c>
      <c r="G301">
        <v>4120</v>
      </c>
      <c r="H301">
        <v>0</v>
      </c>
      <c r="I301">
        <v>96</v>
      </c>
      <c r="J301">
        <v>360</v>
      </c>
      <c r="K301">
        <v>1</v>
      </c>
      <c r="L301" t="s">
        <v>33</v>
      </c>
      <c r="M301">
        <f>Table1[[#This Row],[ApplicantIncome]]+Table1[[#This Row],[CoapplicantIncome]]</f>
        <v>4120</v>
      </c>
      <c r="N301">
        <f>Table1[[#This Row],[LoanAmount]] /Table1[[#This Row],[Total_Income ]]</f>
        <v>2.3300970873786409E-2</v>
      </c>
      <c r="O301">
        <f>Table1[[#This Row],[LoanAmount]]/Table1[[#This Row],[Loan_Amount_Term]]</f>
        <v>0.26666666666666666</v>
      </c>
      <c r="P301">
        <f>IF(Table1[[#This Row],[Total_Income ]]&gt;=AVERAGE(Table1[[#This Row],[Total_Income ]]),1,0)</f>
        <v>1</v>
      </c>
      <c r="Q301">
        <f>IF(Table1[[#This Row],[LoanAmount]]&gt;=AVERAGE(Table1[[#This Row],[LoanAmount]]),1,0)</f>
        <v>1</v>
      </c>
    </row>
    <row r="302" spans="1:17">
      <c r="A302" t="s">
        <v>327</v>
      </c>
      <c r="B302" t="s">
        <v>18</v>
      </c>
      <c r="C302" t="s">
        <v>19</v>
      </c>
      <c r="D302" s="1">
        <v>0</v>
      </c>
      <c r="E302" t="s">
        <v>20</v>
      </c>
      <c r="F302" t="s">
        <v>21</v>
      </c>
      <c r="G302">
        <v>7500</v>
      </c>
      <c r="H302">
        <v>0</v>
      </c>
      <c r="I302">
        <v>180</v>
      </c>
      <c r="J302">
        <v>360</v>
      </c>
      <c r="K302">
        <v>1</v>
      </c>
      <c r="L302" t="s">
        <v>22</v>
      </c>
      <c r="M302">
        <f>Table1[[#This Row],[ApplicantIncome]]+Table1[[#This Row],[CoapplicantIncome]]</f>
        <v>7500</v>
      </c>
      <c r="N302">
        <f>Table1[[#This Row],[LoanAmount]] /Table1[[#This Row],[Total_Income ]]</f>
        <v>2.4E-2</v>
      </c>
      <c r="O302">
        <f>Table1[[#This Row],[LoanAmount]]/Table1[[#This Row],[Loan_Amount_Term]]</f>
        <v>0.5</v>
      </c>
      <c r="P302">
        <f>IF(Table1[[#This Row],[Total_Income ]]&gt;=AVERAGE(Table1[[#This Row],[Total_Income ]]),1,0)</f>
        <v>1</v>
      </c>
      <c r="Q302">
        <f>IF(Table1[[#This Row],[LoanAmount]]&gt;=AVERAGE(Table1[[#This Row],[LoanAmount]]),1,0)</f>
        <v>1</v>
      </c>
    </row>
    <row r="303" spans="1:17">
      <c r="A303" t="s">
        <v>328</v>
      </c>
      <c r="B303" t="s">
        <v>30</v>
      </c>
      <c r="C303" t="s">
        <v>19</v>
      </c>
      <c r="D303" s="1">
        <v>0</v>
      </c>
      <c r="E303" t="s">
        <v>20</v>
      </c>
      <c r="F303" t="s">
        <v>21</v>
      </c>
      <c r="G303">
        <v>6300</v>
      </c>
      <c r="H303">
        <v>0</v>
      </c>
      <c r="I303">
        <v>183</v>
      </c>
      <c r="J303">
        <v>360</v>
      </c>
      <c r="K303">
        <v>1</v>
      </c>
      <c r="L303" t="s">
        <v>22</v>
      </c>
      <c r="M303">
        <f>Table1[[#This Row],[ApplicantIncome]]+Table1[[#This Row],[CoapplicantIncome]]</f>
        <v>6300</v>
      </c>
      <c r="N303">
        <f>Table1[[#This Row],[LoanAmount]] /Table1[[#This Row],[Total_Income ]]</f>
        <v>2.9047619047619048E-2</v>
      </c>
      <c r="O303">
        <f>Table1[[#This Row],[LoanAmount]]/Table1[[#This Row],[Loan_Amount_Term]]</f>
        <v>0.5083333333333333</v>
      </c>
      <c r="P303">
        <f>IF(Table1[[#This Row],[Total_Income ]]&gt;=AVERAGE(Table1[[#This Row],[Total_Income ]]),1,0)</f>
        <v>1</v>
      </c>
      <c r="Q303">
        <f>IF(Table1[[#This Row],[LoanAmount]]&gt;=AVERAGE(Table1[[#This Row],[LoanAmount]]),1,0)</f>
        <v>1</v>
      </c>
    </row>
    <row r="304" spans="1:17">
      <c r="A304" t="s">
        <v>329</v>
      </c>
      <c r="B304" t="s">
        <v>18</v>
      </c>
      <c r="C304" t="s">
        <v>21</v>
      </c>
      <c r="D304" s="1" t="s">
        <v>39</v>
      </c>
      <c r="E304" t="s">
        <v>20</v>
      </c>
      <c r="F304" t="s">
        <v>21</v>
      </c>
      <c r="G304">
        <v>14987</v>
      </c>
      <c r="H304">
        <v>0</v>
      </c>
      <c r="I304">
        <v>121</v>
      </c>
      <c r="J304">
        <v>360</v>
      </c>
      <c r="K304">
        <v>0</v>
      </c>
      <c r="L304" t="s">
        <v>33</v>
      </c>
      <c r="M304">
        <f>Table1[[#This Row],[ApplicantIncome]]+Table1[[#This Row],[CoapplicantIncome]]</f>
        <v>14987</v>
      </c>
      <c r="N304">
        <f>Table1[[#This Row],[LoanAmount]] /Table1[[#This Row],[Total_Income ]]</f>
        <v>8.0736638419963962E-3</v>
      </c>
      <c r="O304">
        <f>Table1[[#This Row],[LoanAmount]]/Table1[[#This Row],[Loan_Amount_Term]]</f>
        <v>0.33611111111111114</v>
      </c>
      <c r="P304">
        <f>IF(Table1[[#This Row],[Total_Income ]]&gt;=AVERAGE(Table1[[#This Row],[Total_Income ]]),1,0)</f>
        <v>1</v>
      </c>
      <c r="Q304">
        <f>IF(Table1[[#This Row],[LoanAmount]]&gt;=AVERAGE(Table1[[#This Row],[LoanAmount]]),1,0)</f>
        <v>1</v>
      </c>
    </row>
    <row r="305" spans="1:17">
      <c r="A305" t="s">
        <v>330</v>
      </c>
      <c r="B305" t="s">
        <v>18</v>
      </c>
      <c r="C305" t="s">
        <v>19</v>
      </c>
      <c r="D305" s="1">
        <v>2</v>
      </c>
      <c r="E305" t="s">
        <v>27</v>
      </c>
      <c r="F305" t="s">
        <v>21</v>
      </c>
      <c r="G305">
        <v>570</v>
      </c>
      <c r="H305">
        <v>2125</v>
      </c>
      <c r="I305">
        <v>162</v>
      </c>
      <c r="J305">
        <v>360</v>
      </c>
      <c r="K305">
        <v>1</v>
      </c>
      <c r="L305" t="s">
        <v>33</v>
      </c>
      <c r="M305">
        <f>Table1[[#This Row],[ApplicantIncome]]+Table1[[#This Row],[CoapplicantIncome]]</f>
        <v>2695</v>
      </c>
      <c r="N305">
        <f>Table1[[#This Row],[LoanAmount]] /Table1[[#This Row],[Total_Income ]]</f>
        <v>6.0111317254174394E-2</v>
      </c>
      <c r="O305">
        <f>Table1[[#This Row],[LoanAmount]]/Table1[[#This Row],[Loan_Amount_Term]]</f>
        <v>0.45</v>
      </c>
      <c r="P305">
        <f>IF(Table1[[#This Row],[Total_Income ]]&gt;=AVERAGE(Table1[[#This Row],[Total_Income ]]),1,0)</f>
        <v>1</v>
      </c>
      <c r="Q305">
        <f>IF(Table1[[#This Row],[LoanAmount]]&gt;=AVERAGE(Table1[[#This Row],[LoanAmount]]),1,0)</f>
        <v>1</v>
      </c>
    </row>
    <row r="306" spans="1:17">
      <c r="A306" t="s">
        <v>331</v>
      </c>
      <c r="B306" t="s">
        <v>30</v>
      </c>
      <c r="C306" t="s">
        <v>19</v>
      </c>
      <c r="D306" s="1">
        <v>0</v>
      </c>
      <c r="E306" t="s">
        <v>20</v>
      </c>
      <c r="F306" t="s">
        <v>21</v>
      </c>
      <c r="G306">
        <v>2600</v>
      </c>
      <c r="H306">
        <v>700</v>
      </c>
      <c r="I306">
        <v>132</v>
      </c>
      <c r="J306">
        <v>360</v>
      </c>
      <c r="K306">
        <v>1</v>
      </c>
      <c r="L306" t="s">
        <v>31</v>
      </c>
      <c r="M306">
        <f>Table1[[#This Row],[ApplicantIncome]]+Table1[[#This Row],[CoapplicantIncome]]</f>
        <v>3300</v>
      </c>
      <c r="N306">
        <f>Table1[[#This Row],[LoanAmount]] /Table1[[#This Row],[Total_Income ]]</f>
        <v>0.04</v>
      </c>
      <c r="O306">
        <f>Table1[[#This Row],[LoanAmount]]/Table1[[#This Row],[Loan_Amount_Term]]</f>
        <v>0.36666666666666664</v>
      </c>
      <c r="P306">
        <f>IF(Table1[[#This Row],[Total_Income ]]&gt;=AVERAGE(Table1[[#This Row],[Total_Income ]]),1,0)</f>
        <v>1</v>
      </c>
      <c r="Q306">
        <f>IF(Table1[[#This Row],[LoanAmount]]&gt;=AVERAGE(Table1[[#This Row],[LoanAmount]]),1,0)</f>
        <v>1</v>
      </c>
    </row>
    <row r="307" spans="1:17">
      <c r="A307" t="s">
        <v>332</v>
      </c>
      <c r="B307" t="s">
        <v>30</v>
      </c>
      <c r="C307" t="s">
        <v>21</v>
      </c>
      <c r="D307" s="1">
        <v>0</v>
      </c>
      <c r="E307" t="s">
        <v>27</v>
      </c>
      <c r="F307" t="s">
        <v>19</v>
      </c>
      <c r="G307">
        <v>2733</v>
      </c>
      <c r="H307">
        <v>1083</v>
      </c>
      <c r="I307">
        <v>147</v>
      </c>
      <c r="J307">
        <v>360</v>
      </c>
      <c r="K307">
        <v>1</v>
      </c>
      <c r="L307" t="s">
        <v>31</v>
      </c>
      <c r="M307">
        <f>Table1[[#This Row],[ApplicantIncome]]+Table1[[#This Row],[CoapplicantIncome]]</f>
        <v>3816</v>
      </c>
      <c r="N307">
        <f>Table1[[#This Row],[LoanAmount]] /Table1[[#This Row],[Total_Income ]]</f>
        <v>3.8522012578616351E-2</v>
      </c>
      <c r="O307">
        <f>Table1[[#This Row],[LoanAmount]]/Table1[[#This Row],[Loan_Amount_Term]]</f>
        <v>0.40833333333333333</v>
      </c>
      <c r="P307">
        <f>IF(Table1[[#This Row],[Total_Income ]]&gt;=AVERAGE(Table1[[#This Row],[Total_Income ]]),1,0)</f>
        <v>1</v>
      </c>
      <c r="Q307">
        <f>IF(Table1[[#This Row],[LoanAmount]]&gt;=AVERAGE(Table1[[#This Row],[LoanAmount]]),1,0)</f>
        <v>1</v>
      </c>
    </row>
    <row r="308" spans="1:17">
      <c r="A308" t="s">
        <v>333</v>
      </c>
      <c r="B308" t="s">
        <v>30</v>
      </c>
      <c r="C308" t="s">
        <v>19</v>
      </c>
      <c r="D308" s="1">
        <v>0</v>
      </c>
      <c r="E308" t="s">
        <v>20</v>
      </c>
      <c r="F308" t="s">
        <v>21</v>
      </c>
      <c r="G308">
        <v>7500</v>
      </c>
      <c r="H308">
        <v>0</v>
      </c>
      <c r="I308">
        <v>153</v>
      </c>
      <c r="J308">
        <v>84</v>
      </c>
      <c r="K308">
        <v>1</v>
      </c>
      <c r="L308" t="s">
        <v>33</v>
      </c>
      <c r="M308">
        <f>Table1[[#This Row],[ApplicantIncome]]+Table1[[#This Row],[CoapplicantIncome]]</f>
        <v>7500</v>
      </c>
      <c r="N308">
        <f>Table1[[#This Row],[LoanAmount]] /Table1[[#This Row],[Total_Income ]]</f>
        <v>2.0400000000000001E-2</v>
      </c>
      <c r="O308">
        <f>Table1[[#This Row],[LoanAmount]]/Table1[[#This Row],[Loan_Amount_Term]]</f>
        <v>1.8214285714285714</v>
      </c>
      <c r="P308">
        <f>IF(Table1[[#This Row],[Total_Income ]]&gt;=AVERAGE(Table1[[#This Row],[Total_Income ]]),1,0)</f>
        <v>1</v>
      </c>
      <c r="Q308">
        <f>IF(Table1[[#This Row],[LoanAmount]]&gt;=AVERAGE(Table1[[#This Row],[LoanAmount]]),1,0)</f>
        <v>1</v>
      </c>
    </row>
    <row r="309" spans="1:17">
      <c r="A309" t="s">
        <v>334</v>
      </c>
      <c r="B309" t="s">
        <v>18</v>
      </c>
      <c r="C309" t="s">
        <v>19</v>
      </c>
      <c r="D309" s="1">
        <v>0</v>
      </c>
      <c r="E309" t="s">
        <v>27</v>
      </c>
      <c r="F309" t="s">
        <v>21</v>
      </c>
      <c r="G309">
        <v>3859</v>
      </c>
      <c r="H309">
        <v>0</v>
      </c>
      <c r="I309">
        <v>104</v>
      </c>
      <c r="J309">
        <v>360</v>
      </c>
      <c r="K309">
        <v>1</v>
      </c>
      <c r="L309" t="s">
        <v>33</v>
      </c>
      <c r="M309">
        <f>Table1[[#This Row],[ApplicantIncome]]+Table1[[#This Row],[CoapplicantIncome]]</f>
        <v>3859</v>
      </c>
      <c r="N309">
        <f>Table1[[#This Row],[LoanAmount]] /Table1[[#This Row],[Total_Income ]]</f>
        <v>2.6949987043275461E-2</v>
      </c>
      <c r="O309">
        <f>Table1[[#This Row],[LoanAmount]]/Table1[[#This Row],[Loan_Amount_Term]]</f>
        <v>0.28888888888888886</v>
      </c>
      <c r="P309">
        <f>IF(Table1[[#This Row],[Total_Income ]]&gt;=AVERAGE(Table1[[#This Row],[Total_Income ]]),1,0)</f>
        <v>1</v>
      </c>
      <c r="Q309">
        <f>IF(Table1[[#This Row],[LoanAmount]]&gt;=AVERAGE(Table1[[#This Row],[LoanAmount]]),1,0)</f>
        <v>1</v>
      </c>
    </row>
    <row r="310" spans="1:17">
      <c r="A310" t="s">
        <v>335</v>
      </c>
      <c r="B310" t="s">
        <v>18</v>
      </c>
      <c r="C310" t="s">
        <v>19</v>
      </c>
      <c r="D310" s="1">
        <v>0</v>
      </c>
      <c r="E310" t="s">
        <v>20</v>
      </c>
      <c r="F310" t="s">
        <v>21</v>
      </c>
      <c r="G310">
        <v>6825</v>
      </c>
      <c r="H310">
        <v>0</v>
      </c>
      <c r="I310">
        <v>149</v>
      </c>
      <c r="J310">
        <v>300</v>
      </c>
      <c r="K310">
        <v>1</v>
      </c>
      <c r="L310" t="s">
        <v>33</v>
      </c>
      <c r="M310">
        <f>Table1[[#This Row],[ApplicantIncome]]+Table1[[#This Row],[CoapplicantIncome]]</f>
        <v>6825</v>
      </c>
      <c r="N310">
        <f>Table1[[#This Row],[LoanAmount]] /Table1[[#This Row],[Total_Income ]]</f>
        <v>2.1831501831501832E-2</v>
      </c>
      <c r="O310">
        <f>Table1[[#This Row],[LoanAmount]]/Table1[[#This Row],[Loan_Amount_Term]]</f>
        <v>0.49666666666666665</v>
      </c>
      <c r="P310">
        <f>IF(Table1[[#This Row],[Total_Income ]]&gt;=AVERAGE(Table1[[#This Row],[Total_Income ]]),1,0)</f>
        <v>1</v>
      </c>
      <c r="Q310">
        <f>IF(Table1[[#This Row],[LoanAmount]]&gt;=AVERAGE(Table1[[#This Row],[LoanAmount]]),1,0)</f>
        <v>1</v>
      </c>
    </row>
    <row r="311" spans="1:17">
      <c r="A311" t="s">
        <v>336</v>
      </c>
      <c r="B311" t="s">
        <v>18</v>
      </c>
      <c r="C311" t="s">
        <v>19</v>
      </c>
      <c r="D311" s="1">
        <v>0</v>
      </c>
      <c r="E311" t="s">
        <v>20</v>
      </c>
      <c r="F311" t="s">
        <v>21</v>
      </c>
      <c r="G311">
        <v>3708</v>
      </c>
      <c r="H311">
        <v>4700</v>
      </c>
      <c r="I311">
        <v>134</v>
      </c>
      <c r="J311">
        <v>180</v>
      </c>
      <c r="K311">
        <v>1</v>
      </c>
      <c r="L311" t="s">
        <v>31</v>
      </c>
      <c r="M311">
        <f>Table1[[#This Row],[ApplicantIncome]]+Table1[[#This Row],[CoapplicantIncome]]</f>
        <v>8408</v>
      </c>
      <c r="N311">
        <f>Table1[[#This Row],[LoanAmount]] /Table1[[#This Row],[Total_Income ]]</f>
        <v>1.5937202664129402E-2</v>
      </c>
      <c r="O311">
        <f>Table1[[#This Row],[LoanAmount]]/Table1[[#This Row],[Loan_Amount_Term]]</f>
        <v>0.74444444444444446</v>
      </c>
      <c r="P311">
        <f>IF(Table1[[#This Row],[Total_Income ]]&gt;=AVERAGE(Table1[[#This Row],[Total_Income ]]),1,0)</f>
        <v>1</v>
      </c>
      <c r="Q311">
        <f>IF(Table1[[#This Row],[LoanAmount]]&gt;=AVERAGE(Table1[[#This Row],[LoanAmount]]),1,0)</f>
        <v>1</v>
      </c>
    </row>
    <row r="312" spans="1:17">
      <c r="A312" t="s">
        <v>337</v>
      </c>
      <c r="B312" t="s">
        <v>30</v>
      </c>
      <c r="C312" t="s">
        <v>21</v>
      </c>
      <c r="D312" s="1">
        <v>1</v>
      </c>
      <c r="E312" t="s">
        <v>20</v>
      </c>
      <c r="F312" t="s">
        <v>21</v>
      </c>
      <c r="G312">
        <v>5314</v>
      </c>
      <c r="H312">
        <v>0</v>
      </c>
      <c r="I312">
        <v>165</v>
      </c>
      <c r="J312">
        <v>360</v>
      </c>
      <c r="K312">
        <v>1</v>
      </c>
      <c r="L312" t="s">
        <v>22</v>
      </c>
      <c r="M312">
        <f>Table1[[#This Row],[ApplicantIncome]]+Table1[[#This Row],[CoapplicantIncome]]</f>
        <v>5314</v>
      </c>
      <c r="N312">
        <f>Table1[[#This Row],[LoanAmount]] /Table1[[#This Row],[Total_Income ]]</f>
        <v>3.10500564546481E-2</v>
      </c>
      <c r="O312">
        <f>Table1[[#This Row],[LoanAmount]]/Table1[[#This Row],[Loan_Amount_Term]]</f>
        <v>0.45833333333333331</v>
      </c>
      <c r="P312">
        <f>IF(Table1[[#This Row],[Total_Income ]]&gt;=AVERAGE(Table1[[#This Row],[Total_Income ]]),1,0)</f>
        <v>1</v>
      </c>
      <c r="Q312">
        <f>IF(Table1[[#This Row],[LoanAmount]]&gt;=AVERAGE(Table1[[#This Row],[LoanAmount]]),1,0)</f>
        <v>1</v>
      </c>
    </row>
    <row r="313" spans="1:17">
      <c r="A313" t="s">
        <v>338</v>
      </c>
      <c r="B313" t="s">
        <v>18</v>
      </c>
      <c r="C313" t="s">
        <v>21</v>
      </c>
      <c r="D313" s="1">
        <v>0</v>
      </c>
      <c r="E313" t="s">
        <v>20</v>
      </c>
      <c r="F313" t="s">
        <v>21</v>
      </c>
      <c r="G313">
        <v>2366</v>
      </c>
      <c r="H313">
        <v>5272</v>
      </c>
      <c r="I313">
        <v>120</v>
      </c>
      <c r="J313">
        <v>360</v>
      </c>
      <c r="K313">
        <v>1</v>
      </c>
      <c r="L313" t="s">
        <v>33</v>
      </c>
      <c r="M313">
        <f>Table1[[#This Row],[ApplicantIncome]]+Table1[[#This Row],[CoapplicantIncome]]</f>
        <v>7638</v>
      </c>
      <c r="N313">
        <f>Table1[[#This Row],[LoanAmount]] /Table1[[#This Row],[Total_Income ]]</f>
        <v>1.5710919088766692E-2</v>
      </c>
      <c r="O313">
        <f>Table1[[#This Row],[LoanAmount]]/Table1[[#This Row],[Loan_Amount_Term]]</f>
        <v>0.33333333333333331</v>
      </c>
      <c r="P313">
        <f>IF(Table1[[#This Row],[Total_Income ]]&gt;=AVERAGE(Table1[[#This Row],[Total_Income ]]),1,0)</f>
        <v>1</v>
      </c>
      <c r="Q313">
        <f>IF(Table1[[#This Row],[LoanAmount]]&gt;=AVERAGE(Table1[[#This Row],[LoanAmount]]),1,0)</f>
        <v>1</v>
      </c>
    </row>
    <row r="314" spans="1:17">
      <c r="A314" t="s">
        <v>339</v>
      </c>
      <c r="B314" t="s">
        <v>18</v>
      </c>
      <c r="C314" t="s">
        <v>21</v>
      </c>
      <c r="D314" s="1" t="s">
        <v>39</v>
      </c>
      <c r="E314" t="s">
        <v>20</v>
      </c>
      <c r="F314" t="s">
        <v>21</v>
      </c>
      <c r="G314">
        <v>2066</v>
      </c>
      <c r="H314">
        <v>2108</v>
      </c>
      <c r="I314">
        <v>67</v>
      </c>
      <c r="J314">
        <v>360</v>
      </c>
      <c r="K314">
        <v>1</v>
      </c>
      <c r="L314" t="s">
        <v>22</v>
      </c>
      <c r="M314">
        <f>Table1[[#This Row],[ApplicantIncome]]+Table1[[#This Row],[CoapplicantIncome]]</f>
        <v>4174</v>
      </c>
      <c r="N314">
        <f>Table1[[#This Row],[LoanAmount]] /Table1[[#This Row],[Total_Income ]]</f>
        <v>1.6051748921897459E-2</v>
      </c>
      <c r="O314">
        <f>Table1[[#This Row],[LoanAmount]]/Table1[[#This Row],[Loan_Amount_Term]]</f>
        <v>0.18611111111111112</v>
      </c>
      <c r="P314">
        <f>IF(Table1[[#This Row],[Total_Income ]]&gt;=AVERAGE(Table1[[#This Row],[Total_Income ]]),1,0)</f>
        <v>1</v>
      </c>
      <c r="Q314">
        <f>IF(Table1[[#This Row],[LoanAmount]]&gt;=AVERAGE(Table1[[#This Row],[LoanAmount]]),1,0)</f>
        <v>1</v>
      </c>
    </row>
    <row r="315" spans="1:17">
      <c r="A315" t="s">
        <v>340</v>
      </c>
      <c r="B315" t="s">
        <v>18</v>
      </c>
      <c r="C315" t="s">
        <v>19</v>
      </c>
      <c r="D315" s="1">
        <v>1</v>
      </c>
      <c r="E315" t="s">
        <v>20</v>
      </c>
      <c r="F315" t="s">
        <v>21</v>
      </c>
      <c r="G315">
        <v>5000</v>
      </c>
      <c r="H315">
        <v>0</v>
      </c>
      <c r="I315">
        <v>125</v>
      </c>
      <c r="J315">
        <v>360</v>
      </c>
      <c r="K315">
        <v>1</v>
      </c>
      <c r="L315" t="s">
        <v>33</v>
      </c>
      <c r="M315">
        <f>Table1[[#This Row],[ApplicantIncome]]+Table1[[#This Row],[CoapplicantIncome]]</f>
        <v>5000</v>
      </c>
      <c r="N315">
        <f>Table1[[#This Row],[LoanAmount]] /Table1[[#This Row],[Total_Income ]]</f>
        <v>2.5000000000000001E-2</v>
      </c>
      <c r="O315">
        <f>Table1[[#This Row],[LoanAmount]]/Table1[[#This Row],[Loan_Amount_Term]]</f>
        <v>0.34722222222222221</v>
      </c>
      <c r="P315">
        <f>IF(Table1[[#This Row],[Total_Income ]]&gt;=AVERAGE(Table1[[#This Row],[Total_Income ]]),1,0)</f>
        <v>1</v>
      </c>
      <c r="Q315">
        <f>IF(Table1[[#This Row],[LoanAmount]]&gt;=AVERAGE(Table1[[#This Row],[LoanAmount]]),1,0)</f>
        <v>1</v>
      </c>
    </row>
    <row r="316" spans="1:17">
      <c r="A316" t="s">
        <v>341</v>
      </c>
      <c r="B316" t="s">
        <v>18</v>
      </c>
      <c r="C316" t="s">
        <v>21</v>
      </c>
      <c r="D316" s="1">
        <v>0</v>
      </c>
      <c r="E316" t="s">
        <v>20</v>
      </c>
      <c r="F316" t="s">
        <v>21</v>
      </c>
      <c r="G316">
        <v>3767</v>
      </c>
      <c r="H316">
        <v>0</v>
      </c>
      <c r="I316">
        <v>120</v>
      </c>
      <c r="J316">
        <v>360</v>
      </c>
      <c r="K316">
        <v>0</v>
      </c>
      <c r="L316" t="s">
        <v>22</v>
      </c>
      <c r="M316">
        <f>Table1[[#This Row],[ApplicantIncome]]+Table1[[#This Row],[CoapplicantIncome]]</f>
        <v>3767</v>
      </c>
      <c r="N316">
        <f>Table1[[#This Row],[LoanAmount]] /Table1[[#This Row],[Total_Income ]]</f>
        <v>3.1855588001061856E-2</v>
      </c>
      <c r="O316">
        <f>Table1[[#This Row],[LoanAmount]]/Table1[[#This Row],[Loan_Amount_Term]]</f>
        <v>0.33333333333333331</v>
      </c>
      <c r="P316">
        <f>IF(Table1[[#This Row],[Total_Income ]]&gt;=AVERAGE(Table1[[#This Row],[Total_Income ]]),1,0)</f>
        <v>1</v>
      </c>
      <c r="Q316">
        <f>IF(Table1[[#This Row],[LoanAmount]]&gt;=AVERAGE(Table1[[#This Row],[LoanAmount]]),1,0)</f>
        <v>1</v>
      </c>
    </row>
    <row r="317" spans="1:17">
      <c r="A317" t="s">
        <v>342</v>
      </c>
      <c r="B317" t="s">
        <v>18</v>
      </c>
      <c r="C317" t="s">
        <v>19</v>
      </c>
      <c r="D317" s="1">
        <v>0</v>
      </c>
      <c r="E317" t="s">
        <v>20</v>
      </c>
      <c r="F317" t="s">
        <v>19</v>
      </c>
      <c r="G317">
        <v>7859</v>
      </c>
      <c r="H317">
        <v>879</v>
      </c>
      <c r="I317">
        <v>148</v>
      </c>
      <c r="J317">
        <v>360</v>
      </c>
      <c r="K317">
        <v>1</v>
      </c>
      <c r="L317" t="s">
        <v>31</v>
      </c>
      <c r="M317">
        <f>Table1[[#This Row],[ApplicantIncome]]+Table1[[#This Row],[CoapplicantIncome]]</f>
        <v>8738</v>
      </c>
      <c r="N317">
        <f>Table1[[#This Row],[LoanAmount]] /Table1[[#This Row],[Total_Income ]]</f>
        <v>1.6937514305333027E-2</v>
      </c>
      <c r="O317">
        <f>Table1[[#This Row],[LoanAmount]]/Table1[[#This Row],[Loan_Amount_Term]]</f>
        <v>0.41111111111111109</v>
      </c>
      <c r="P317">
        <f>IF(Table1[[#This Row],[Total_Income ]]&gt;=AVERAGE(Table1[[#This Row],[Total_Income ]]),1,0)</f>
        <v>1</v>
      </c>
      <c r="Q317">
        <f>IF(Table1[[#This Row],[LoanAmount]]&gt;=AVERAGE(Table1[[#This Row],[LoanAmount]]),1,0)</f>
        <v>1</v>
      </c>
    </row>
    <row r="318" spans="1:17">
      <c r="A318" t="s">
        <v>343</v>
      </c>
      <c r="B318" t="s">
        <v>18</v>
      </c>
      <c r="C318" t="s">
        <v>19</v>
      </c>
      <c r="D318" s="1">
        <v>1</v>
      </c>
      <c r="E318" t="s">
        <v>20</v>
      </c>
      <c r="F318" t="s">
        <v>21</v>
      </c>
      <c r="G318">
        <v>4283</v>
      </c>
      <c r="H318">
        <v>0</v>
      </c>
      <c r="I318">
        <v>181</v>
      </c>
      <c r="J318">
        <v>120</v>
      </c>
      <c r="K318">
        <v>1</v>
      </c>
      <c r="L318" t="s">
        <v>33</v>
      </c>
      <c r="M318">
        <f>Table1[[#This Row],[ApplicantIncome]]+Table1[[#This Row],[CoapplicantIncome]]</f>
        <v>4283</v>
      </c>
      <c r="N318">
        <f>Table1[[#This Row],[LoanAmount]] /Table1[[#This Row],[Total_Income ]]</f>
        <v>4.2260098062106004E-2</v>
      </c>
      <c r="O318">
        <f>Table1[[#This Row],[LoanAmount]]/Table1[[#This Row],[Loan_Amount_Term]]</f>
        <v>1.5083333333333333</v>
      </c>
      <c r="P318">
        <f>IF(Table1[[#This Row],[Total_Income ]]&gt;=AVERAGE(Table1[[#This Row],[Total_Income ]]),1,0)</f>
        <v>1</v>
      </c>
      <c r="Q318">
        <f>IF(Table1[[#This Row],[LoanAmount]]&gt;=AVERAGE(Table1[[#This Row],[LoanAmount]]),1,0)</f>
        <v>1</v>
      </c>
    </row>
    <row r="319" spans="1:17">
      <c r="A319" t="s">
        <v>344</v>
      </c>
      <c r="B319" t="s">
        <v>18</v>
      </c>
      <c r="C319" t="s">
        <v>19</v>
      </c>
      <c r="D319" s="1">
        <v>2</v>
      </c>
      <c r="E319" t="s">
        <v>27</v>
      </c>
      <c r="F319" t="s">
        <v>19</v>
      </c>
      <c r="G319">
        <v>1700</v>
      </c>
      <c r="H319">
        <v>2900</v>
      </c>
      <c r="I319">
        <v>80</v>
      </c>
      <c r="J319">
        <v>360</v>
      </c>
      <c r="K319">
        <v>1</v>
      </c>
      <c r="L319" t="s">
        <v>22</v>
      </c>
      <c r="M319">
        <f>Table1[[#This Row],[ApplicantIncome]]+Table1[[#This Row],[CoapplicantIncome]]</f>
        <v>4600</v>
      </c>
      <c r="N319">
        <f>Table1[[#This Row],[LoanAmount]] /Table1[[#This Row],[Total_Income ]]</f>
        <v>1.7391304347826087E-2</v>
      </c>
      <c r="O319">
        <f>Table1[[#This Row],[LoanAmount]]/Table1[[#This Row],[Loan_Amount_Term]]</f>
        <v>0.22222222222222221</v>
      </c>
      <c r="P319">
        <f>IF(Table1[[#This Row],[Total_Income ]]&gt;=AVERAGE(Table1[[#This Row],[Total_Income ]]),1,0)</f>
        <v>1</v>
      </c>
      <c r="Q319">
        <f>IF(Table1[[#This Row],[LoanAmount]]&gt;=AVERAGE(Table1[[#This Row],[LoanAmount]]),1,0)</f>
        <v>1</v>
      </c>
    </row>
    <row r="320" spans="1:17">
      <c r="A320" t="s">
        <v>345</v>
      </c>
      <c r="B320" t="s">
        <v>18</v>
      </c>
      <c r="C320" t="s">
        <v>21</v>
      </c>
      <c r="D320" s="1" t="s">
        <v>39</v>
      </c>
      <c r="E320" t="s">
        <v>27</v>
      </c>
      <c r="F320" t="s">
        <v>19</v>
      </c>
      <c r="G320">
        <v>4768</v>
      </c>
      <c r="H320">
        <v>0</v>
      </c>
      <c r="I320">
        <v>40</v>
      </c>
      <c r="J320">
        <v>360</v>
      </c>
      <c r="K320">
        <v>1</v>
      </c>
      <c r="L320" t="s">
        <v>33</v>
      </c>
      <c r="M320">
        <f>Table1[[#This Row],[ApplicantIncome]]+Table1[[#This Row],[CoapplicantIncome]]</f>
        <v>4768</v>
      </c>
      <c r="N320">
        <f>Table1[[#This Row],[LoanAmount]] /Table1[[#This Row],[Total_Income ]]</f>
        <v>8.389261744966443E-3</v>
      </c>
      <c r="O320">
        <f>Table1[[#This Row],[LoanAmount]]/Table1[[#This Row],[Loan_Amount_Term]]</f>
        <v>0.1111111111111111</v>
      </c>
      <c r="P320">
        <f>IF(Table1[[#This Row],[Total_Income ]]&gt;=AVERAGE(Table1[[#This Row],[Total_Income ]]),1,0)</f>
        <v>1</v>
      </c>
      <c r="Q320">
        <f>IF(Table1[[#This Row],[LoanAmount]]&gt;=AVERAGE(Table1[[#This Row],[LoanAmount]]),1,0)</f>
        <v>1</v>
      </c>
    </row>
    <row r="321" spans="1:17">
      <c r="A321" t="s">
        <v>346</v>
      </c>
      <c r="B321" t="s">
        <v>18</v>
      </c>
      <c r="C321" t="s">
        <v>21</v>
      </c>
      <c r="D321" s="1">
        <v>1</v>
      </c>
      <c r="E321" t="s">
        <v>20</v>
      </c>
      <c r="F321" t="s">
        <v>21</v>
      </c>
      <c r="G321">
        <v>3083</v>
      </c>
      <c r="H321">
        <v>2738</v>
      </c>
      <c r="I321">
        <v>90</v>
      </c>
      <c r="J321">
        <v>6</v>
      </c>
      <c r="K321">
        <v>1</v>
      </c>
      <c r="L321" t="s">
        <v>22</v>
      </c>
      <c r="M321">
        <f>Table1[[#This Row],[ApplicantIncome]]+Table1[[#This Row],[CoapplicantIncome]]</f>
        <v>5821</v>
      </c>
      <c r="N321">
        <f>Table1[[#This Row],[LoanAmount]] /Table1[[#This Row],[Total_Income ]]</f>
        <v>1.5461260951726508E-2</v>
      </c>
      <c r="O321">
        <f>Table1[[#This Row],[LoanAmount]]/Table1[[#This Row],[Loan_Amount_Term]]</f>
        <v>15</v>
      </c>
      <c r="P321">
        <f>IF(Table1[[#This Row],[Total_Income ]]&gt;=AVERAGE(Table1[[#This Row],[Total_Income ]]),1,0)</f>
        <v>1</v>
      </c>
      <c r="Q321">
        <f>IF(Table1[[#This Row],[LoanAmount]]&gt;=AVERAGE(Table1[[#This Row],[LoanAmount]]),1,0)</f>
        <v>1</v>
      </c>
    </row>
    <row r="322" spans="1:17">
      <c r="A322" t="s">
        <v>347</v>
      </c>
      <c r="B322" t="s">
        <v>18</v>
      </c>
      <c r="C322" t="s">
        <v>19</v>
      </c>
      <c r="D322" s="1">
        <v>0</v>
      </c>
      <c r="E322" t="s">
        <v>20</v>
      </c>
      <c r="F322" t="s">
        <v>21</v>
      </c>
      <c r="G322">
        <v>2667</v>
      </c>
      <c r="H322">
        <v>1542</v>
      </c>
      <c r="I322">
        <v>95</v>
      </c>
      <c r="J322">
        <v>360</v>
      </c>
      <c r="K322">
        <v>1</v>
      </c>
      <c r="L322" t="s">
        <v>33</v>
      </c>
      <c r="M322">
        <f>Table1[[#This Row],[ApplicantIncome]]+Table1[[#This Row],[CoapplicantIncome]]</f>
        <v>4209</v>
      </c>
      <c r="N322">
        <f>Table1[[#This Row],[LoanAmount]] /Table1[[#This Row],[Total_Income ]]</f>
        <v>2.2570681872178665E-2</v>
      </c>
      <c r="O322">
        <f>Table1[[#This Row],[LoanAmount]]/Table1[[#This Row],[Loan_Amount_Term]]</f>
        <v>0.2638888888888889</v>
      </c>
      <c r="P322">
        <f>IF(Table1[[#This Row],[Total_Income ]]&gt;=AVERAGE(Table1[[#This Row],[Total_Income ]]),1,0)</f>
        <v>1</v>
      </c>
      <c r="Q322">
        <f>IF(Table1[[#This Row],[LoanAmount]]&gt;=AVERAGE(Table1[[#This Row],[LoanAmount]]),1,0)</f>
        <v>1</v>
      </c>
    </row>
    <row r="323" spans="1:17">
      <c r="A323" t="s">
        <v>348</v>
      </c>
      <c r="B323" t="s">
        <v>30</v>
      </c>
      <c r="C323" t="s">
        <v>19</v>
      </c>
      <c r="D323" s="1" t="s">
        <v>39</v>
      </c>
      <c r="E323" t="s">
        <v>27</v>
      </c>
      <c r="F323" t="s">
        <v>21</v>
      </c>
      <c r="G323">
        <v>1647</v>
      </c>
      <c r="H323">
        <v>1762</v>
      </c>
      <c r="I323">
        <v>122</v>
      </c>
      <c r="J323">
        <v>360</v>
      </c>
      <c r="K323">
        <v>0</v>
      </c>
      <c r="L323" t="s">
        <v>22</v>
      </c>
      <c r="M323">
        <f>Table1[[#This Row],[ApplicantIncome]]+Table1[[#This Row],[CoapplicantIncome]]</f>
        <v>3409</v>
      </c>
      <c r="N323">
        <f>Table1[[#This Row],[LoanAmount]] /Table1[[#This Row],[Total_Income ]]</f>
        <v>3.5787621003226751E-2</v>
      </c>
      <c r="O323">
        <f>Table1[[#This Row],[LoanAmount]]/Table1[[#This Row],[Loan_Amount_Term]]</f>
        <v>0.33888888888888891</v>
      </c>
      <c r="P323">
        <f>IF(Table1[[#This Row],[Total_Income ]]&gt;=AVERAGE(Table1[[#This Row],[Total_Income ]]),1,0)</f>
        <v>1</v>
      </c>
      <c r="Q323">
        <f>IF(Table1[[#This Row],[LoanAmount]]&gt;=AVERAGE(Table1[[#This Row],[LoanAmount]]),1,0)</f>
        <v>1</v>
      </c>
    </row>
    <row r="324" spans="1:17">
      <c r="A324" t="s">
        <v>349</v>
      </c>
      <c r="B324" t="s">
        <v>30</v>
      </c>
      <c r="C324" t="s">
        <v>19</v>
      </c>
      <c r="D324" s="1">
        <v>1</v>
      </c>
      <c r="E324" t="s">
        <v>20</v>
      </c>
      <c r="F324" t="s">
        <v>21</v>
      </c>
      <c r="G324">
        <v>3400</v>
      </c>
      <c r="H324">
        <v>0</v>
      </c>
      <c r="I324">
        <v>150</v>
      </c>
      <c r="J324">
        <v>360</v>
      </c>
      <c r="K324">
        <v>1</v>
      </c>
      <c r="L324" t="s">
        <v>22</v>
      </c>
      <c r="M324">
        <f>Table1[[#This Row],[ApplicantIncome]]+Table1[[#This Row],[CoapplicantIncome]]</f>
        <v>3400</v>
      </c>
      <c r="N324">
        <f>Table1[[#This Row],[LoanAmount]] /Table1[[#This Row],[Total_Income ]]</f>
        <v>4.4117647058823532E-2</v>
      </c>
      <c r="O324">
        <f>Table1[[#This Row],[LoanAmount]]/Table1[[#This Row],[Loan_Amount_Term]]</f>
        <v>0.41666666666666669</v>
      </c>
      <c r="P324">
        <f>IF(Table1[[#This Row],[Total_Income ]]&gt;=AVERAGE(Table1[[#This Row],[Total_Income ]]),1,0)</f>
        <v>1</v>
      </c>
      <c r="Q324">
        <f>IF(Table1[[#This Row],[LoanAmount]]&gt;=AVERAGE(Table1[[#This Row],[LoanAmount]]),1,0)</f>
        <v>1</v>
      </c>
    </row>
    <row r="325" spans="1:17">
      <c r="A325" t="s">
        <v>350</v>
      </c>
      <c r="B325" t="s">
        <v>18</v>
      </c>
      <c r="C325" t="s">
        <v>21</v>
      </c>
      <c r="D325" s="1">
        <v>0</v>
      </c>
      <c r="E325" t="s">
        <v>20</v>
      </c>
      <c r="F325" t="s">
        <v>21</v>
      </c>
      <c r="G325">
        <v>16000</v>
      </c>
      <c r="H325">
        <v>5000</v>
      </c>
      <c r="I325">
        <v>150</v>
      </c>
      <c r="J325">
        <v>360</v>
      </c>
      <c r="K325">
        <v>1</v>
      </c>
      <c r="L325" t="s">
        <v>31</v>
      </c>
      <c r="M325">
        <f>Table1[[#This Row],[ApplicantIncome]]+Table1[[#This Row],[CoapplicantIncome]]</f>
        <v>21000</v>
      </c>
      <c r="N325">
        <f>Table1[[#This Row],[LoanAmount]] /Table1[[#This Row],[Total_Income ]]</f>
        <v>7.1428571428571426E-3</v>
      </c>
      <c r="O325">
        <f>Table1[[#This Row],[LoanAmount]]/Table1[[#This Row],[Loan_Amount_Term]]</f>
        <v>0.41666666666666669</v>
      </c>
      <c r="P325">
        <f>IF(Table1[[#This Row],[Total_Income ]]&gt;=AVERAGE(Table1[[#This Row],[Total_Income ]]),1,0)</f>
        <v>1</v>
      </c>
      <c r="Q325">
        <f>IF(Table1[[#This Row],[LoanAmount]]&gt;=AVERAGE(Table1[[#This Row],[LoanAmount]]),1,0)</f>
        <v>1</v>
      </c>
    </row>
    <row r="326" spans="1:17">
      <c r="A326" t="s">
        <v>351</v>
      </c>
      <c r="B326" t="s">
        <v>18</v>
      </c>
      <c r="C326" t="s">
        <v>19</v>
      </c>
      <c r="D326" s="1">
        <v>0</v>
      </c>
      <c r="E326" t="s">
        <v>20</v>
      </c>
      <c r="F326" t="s">
        <v>21</v>
      </c>
      <c r="G326">
        <v>5333</v>
      </c>
      <c r="H326">
        <v>0</v>
      </c>
      <c r="I326">
        <v>104</v>
      </c>
      <c r="J326">
        <v>360</v>
      </c>
      <c r="K326">
        <v>1</v>
      </c>
      <c r="L326" t="s">
        <v>33</v>
      </c>
      <c r="M326">
        <f>Table1[[#This Row],[ApplicantIncome]]+Table1[[#This Row],[CoapplicantIncome]]</f>
        <v>5333</v>
      </c>
      <c r="N326">
        <f>Table1[[#This Row],[LoanAmount]] /Table1[[#This Row],[Total_Income ]]</f>
        <v>1.9501218826176635E-2</v>
      </c>
      <c r="O326">
        <f>Table1[[#This Row],[LoanAmount]]/Table1[[#This Row],[Loan_Amount_Term]]</f>
        <v>0.28888888888888886</v>
      </c>
      <c r="P326">
        <f>IF(Table1[[#This Row],[Total_Income ]]&gt;=AVERAGE(Table1[[#This Row],[Total_Income ]]),1,0)</f>
        <v>1</v>
      </c>
      <c r="Q326">
        <f>IF(Table1[[#This Row],[LoanAmount]]&gt;=AVERAGE(Table1[[#This Row],[LoanAmount]]),1,0)</f>
        <v>1</v>
      </c>
    </row>
    <row r="327" spans="1:17">
      <c r="A327" t="s">
        <v>352</v>
      </c>
      <c r="B327" t="s">
        <v>30</v>
      </c>
      <c r="C327" t="s">
        <v>21</v>
      </c>
      <c r="D327" s="1">
        <v>2</v>
      </c>
      <c r="E327" t="s">
        <v>20</v>
      </c>
      <c r="F327" t="s">
        <v>21</v>
      </c>
      <c r="G327">
        <v>2875</v>
      </c>
      <c r="H327">
        <v>2416</v>
      </c>
      <c r="I327">
        <v>143</v>
      </c>
      <c r="J327">
        <v>360</v>
      </c>
      <c r="K327">
        <v>1</v>
      </c>
      <c r="L327" t="s">
        <v>31</v>
      </c>
      <c r="M327">
        <f>Table1[[#This Row],[ApplicantIncome]]+Table1[[#This Row],[CoapplicantIncome]]</f>
        <v>5291</v>
      </c>
      <c r="N327">
        <f>Table1[[#This Row],[LoanAmount]] /Table1[[#This Row],[Total_Income ]]</f>
        <v>2.7027027027027029E-2</v>
      </c>
      <c r="O327">
        <f>Table1[[#This Row],[LoanAmount]]/Table1[[#This Row],[Loan_Amount_Term]]</f>
        <v>0.3972222222222222</v>
      </c>
      <c r="P327">
        <f>IF(Table1[[#This Row],[Total_Income ]]&gt;=AVERAGE(Table1[[#This Row],[Total_Income ]]),1,0)</f>
        <v>1</v>
      </c>
      <c r="Q327">
        <f>IF(Table1[[#This Row],[LoanAmount]]&gt;=AVERAGE(Table1[[#This Row],[LoanAmount]]),1,0)</f>
        <v>1</v>
      </c>
    </row>
    <row r="328" spans="1:17">
      <c r="A328" t="s">
        <v>353</v>
      </c>
      <c r="B328" t="s">
        <v>18</v>
      </c>
      <c r="C328" t="s">
        <v>19</v>
      </c>
      <c r="D328" s="1">
        <v>0</v>
      </c>
      <c r="E328" t="s">
        <v>27</v>
      </c>
      <c r="F328" t="s">
        <v>19</v>
      </c>
      <c r="G328">
        <v>2600</v>
      </c>
      <c r="H328">
        <v>618</v>
      </c>
      <c r="I328">
        <v>300</v>
      </c>
      <c r="J328">
        <v>360</v>
      </c>
      <c r="K328">
        <v>1</v>
      </c>
      <c r="L328" t="s">
        <v>31</v>
      </c>
      <c r="M328">
        <f>Table1[[#This Row],[ApplicantIncome]]+Table1[[#This Row],[CoapplicantIncome]]</f>
        <v>3218</v>
      </c>
      <c r="N328">
        <f>Table1[[#This Row],[LoanAmount]] /Table1[[#This Row],[Total_Income ]]</f>
        <v>9.3225605966438779E-2</v>
      </c>
      <c r="O328">
        <f>Table1[[#This Row],[LoanAmount]]/Table1[[#This Row],[Loan_Amount_Term]]</f>
        <v>0.83333333333333337</v>
      </c>
      <c r="P328">
        <f>IF(Table1[[#This Row],[Total_Income ]]&gt;=AVERAGE(Table1[[#This Row],[Total_Income ]]),1,0)</f>
        <v>1</v>
      </c>
      <c r="Q328">
        <f>IF(Table1[[#This Row],[LoanAmount]]&gt;=AVERAGE(Table1[[#This Row],[LoanAmount]]),1,0)</f>
        <v>1</v>
      </c>
    </row>
    <row r="329" spans="1:17">
      <c r="A329" t="s">
        <v>354</v>
      </c>
      <c r="B329" t="s">
        <v>18</v>
      </c>
      <c r="C329" t="s">
        <v>19</v>
      </c>
      <c r="D329" s="1">
        <v>0</v>
      </c>
      <c r="E329" t="s">
        <v>20</v>
      </c>
      <c r="F329" t="s">
        <v>21</v>
      </c>
      <c r="G329">
        <v>5041</v>
      </c>
      <c r="H329">
        <v>700</v>
      </c>
      <c r="I329">
        <v>171</v>
      </c>
      <c r="J329">
        <v>360</v>
      </c>
      <c r="K329">
        <v>1</v>
      </c>
      <c r="L329" t="s">
        <v>22</v>
      </c>
      <c r="M329">
        <f>Table1[[#This Row],[ApplicantIncome]]+Table1[[#This Row],[CoapplicantIncome]]</f>
        <v>5741</v>
      </c>
      <c r="N329">
        <f>Table1[[#This Row],[LoanAmount]] /Table1[[#This Row],[Total_Income ]]</f>
        <v>2.9785751611217558E-2</v>
      </c>
      <c r="O329">
        <f>Table1[[#This Row],[LoanAmount]]/Table1[[#This Row],[Loan_Amount_Term]]</f>
        <v>0.47499999999999998</v>
      </c>
      <c r="P329">
        <f>IF(Table1[[#This Row],[Total_Income ]]&gt;=AVERAGE(Table1[[#This Row],[Total_Income ]]),1,0)</f>
        <v>1</v>
      </c>
      <c r="Q329">
        <f>IF(Table1[[#This Row],[LoanAmount]]&gt;=AVERAGE(Table1[[#This Row],[LoanAmount]]),1,0)</f>
        <v>1</v>
      </c>
    </row>
    <row r="330" spans="1:17">
      <c r="A330" t="s">
        <v>355</v>
      </c>
      <c r="B330" t="s">
        <v>30</v>
      </c>
      <c r="C330" t="s">
        <v>19</v>
      </c>
      <c r="D330" s="1">
        <v>1</v>
      </c>
      <c r="E330" t="s">
        <v>20</v>
      </c>
      <c r="F330" t="s">
        <v>21</v>
      </c>
      <c r="G330">
        <v>6958</v>
      </c>
      <c r="H330">
        <v>1411</v>
      </c>
      <c r="I330">
        <v>113</v>
      </c>
      <c r="J330">
        <v>360</v>
      </c>
      <c r="K330">
        <v>0</v>
      </c>
      <c r="L330" t="s">
        <v>33</v>
      </c>
      <c r="M330">
        <f>Table1[[#This Row],[ApplicantIncome]]+Table1[[#This Row],[CoapplicantIncome]]</f>
        <v>8369</v>
      </c>
      <c r="N330">
        <f>Table1[[#This Row],[LoanAmount]] /Table1[[#This Row],[Total_Income ]]</f>
        <v>1.3502210538893536E-2</v>
      </c>
      <c r="O330">
        <f>Table1[[#This Row],[LoanAmount]]/Table1[[#This Row],[Loan_Amount_Term]]</f>
        <v>0.31388888888888888</v>
      </c>
      <c r="P330">
        <f>IF(Table1[[#This Row],[Total_Income ]]&gt;=AVERAGE(Table1[[#This Row],[Total_Income ]]),1,0)</f>
        <v>1</v>
      </c>
      <c r="Q330">
        <f>IF(Table1[[#This Row],[LoanAmount]]&gt;=AVERAGE(Table1[[#This Row],[LoanAmount]]),1,0)</f>
        <v>1</v>
      </c>
    </row>
    <row r="331" spans="1:17">
      <c r="A331" t="s">
        <v>356</v>
      </c>
      <c r="B331" t="s">
        <v>18</v>
      </c>
      <c r="C331" t="s">
        <v>19</v>
      </c>
      <c r="D331" s="1">
        <v>0</v>
      </c>
      <c r="E331" t="s">
        <v>20</v>
      </c>
      <c r="F331" t="s">
        <v>21</v>
      </c>
      <c r="G331">
        <v>3500</v>
      </c>
      <c r="H331">
        <v>1658</v>
      </c>
      <c r="I331">
        <v>35</v>
      </c>
      <c r="J331">
        <v>360</v>
      </c>
      <c r="K331">
        <v>1</v>
      </c>
      <c r="L331" t="s">
        <v>31</v>
      </c>
      <c r="M331">
        <f>Table1[[#This Row],[ApplicantIncome]]+Table1[[#This Row],[CoapplicantIncome]]</f>
        <v>5158</v>
      </c>
      <c r="N331">
        <f>Table1[[#This Row],[LoanAmount]] /Table1[[#This Row],[Total_Income ]]</f>
        <v>6.785575804575417E-3</v>
      </c>
      <c r="O331">
        <f>Table1[[#This Row],[LoanAmount]]/Table1[[#This Row],[Loan_Amount_Term]]</f>
        <v>9.7222222222222224E-2</v>
      </c>
      <c r="P331">
        <f>IF(Table1[[#This Row],[Total_Income ]]&gt;=AVERAGE(Table1[[#This Row],[Total_Income ]]),1,0)</f>
        <v>1</v>
      </c>
      <c r="Q331">
        <f>IF(Table1[[#This Row],[LoanAmount]]&gt;=AVERAGE(Table1[[#This Row],[LoanAmount]]),1,0)</f>
        <v>1</v>
      </c>
    </row>
    <row r="332" spans="1:17">
      <c r="A332" t="s">
        <v>357</v>
      </c>
      <c r="B332" t="s">
        <v>18</v>
      </c>
      <c r="C332" t="s">
        <v>19</v>
      </c>
      <c r="D332" s="1">
        <v>0</v>
      </c>
      <c r="E332" t="s">
        <v>20</v>
      </c>
      <c r="F332" t="s">
        <v>21</v>
      </c>
      <c r="G332">
        <v>5509</v>
      </c>
      <c r="H332">
        <v>0</v>
      </c>
      <c r="I332">
        <v>46</v>
      </c>
      <c r="J332">
        <v>360</v>
      </c>
      <c r="K332">
        <v>1</v>
      </c>
      <c r="L332" t="s">
        <v>33</v>
      </c>
      <c r="M332">
        <f>Table1[[#This Row],[ApplicantIncome]]+Table1[[#This Row],[CoapplicantIncome]]</f>
        <v>5509</v>
      </c>
      <c r="N332">
        <f>Table1[[#This Row],[LoanAmount]] /Table1[[#This Row],[Total_Income ]]</f>
        <v>8.3499727718279182E-3</v>
      </c>
      <c r="O332">
        <f>Table1[[#This Row],[LoanAmount]]/Table1[[#This Row],[Loan_Amount_Term]]</f>
        <v>0.12777777777777777</v>
      </c>
      <c r="P332">
        <f>IF(Table1[[#This Row],[Total_Income ]]&gt;=AVERAGE(Table1[[#This Row],[Total_Income ]]),1,0)</f>
        <v>1</v>
      </c>
      <c r="Q332">
        <f>IF(Table1[[#This Row],[LoanAmount]]&gt;=AVERAGE(Table1[[#This Row],[LoanAmount]]),1,0)</f>
        <v>1</v>
      </c>
    </row>
    <row r="333" spans="1:17">
      <c r="A333" t="s">
        <v>358</v>
      </c>
      <c r="B333" t="s">
        <v>18</v>
      </c>
      <c r="C333" t="s">
        <v>19</v>
      </c>
      <c r="D333" s="1">
        <v>0</v>
      </c>
      <c r="E333" t="s">
        <v>20</v>
      </c>
      <c r="F333" t="s">
        <v>21</v>
      </c>
      <c r="G333">
        <v>9699</v>
      </c>
      <c r="H333">
        <v>0</v>
      </c>
      <c r="I333">
        <v>145</v>
      </c>
      <c r="J333">
        <v>360</v>
      </c>
      <c r="K333">
        <v>1</v>
      </c>
      <c r="L333" t="s">
        <v>22</v>
      </c>
      <c r="M333">
        <f>Table1[[#This Row],[ApplicantIncome]]+Table1[[#This Row],[CoapplicantIncome]]</f>
        <v>9699</v>
      </c>
      <c r="N333">
        <f>Table1[[#This Row],[LoanAmount]] /Table1[[#This Row],[Total_Income ]]</f>
        <v>1.4949994844829364E-2</v>
      </c>
      <c r="O333">
        <f>Table1[[#This Row],[LoanAmount]]/Table1[[#This Row],[Loan_Amount_Term]]</f>
        <v>0.40277777777777779</v>
      </c>
      <c r="P333">
        <f>IF(Table1[[#This Row],[Total_Income ]]&gt;=AVERAGE(Table1[[#This Row],[Total_Income ]]),1,0)</f>
        <v>1</v>
      </c>
      <c r="Q333">
        <f>IF(Table1[[#This Row],[LoanAmount]]&gt;=AVERAGE(Table1[[#This Row],[LoanAmount]]),1,0)</f>
        <v>1</v>
      </c>
    </row>
    <row r="334" spans="1:17">
      <c r="A334" t="s">
        <v>359</v>
      </c>
      <c r="B334" t="s">
        <v>18</v>
      </c>
      <c r="C334" t="s">
        <v>19</v>
      </c>
      <c r="D334" s="1" t="s">
        <v>39</v>
      </c>
      <c r="E334" t="s">
        <v>27</v>
      </c>
      <c r="F334" t="s">
        <v>21</v>
      </c>
      <c r="G334">
        <v>3621</v>
      </c>
      <c r="H334">
        <v>2717</v>
      </c>
      <c r="I334">
        <v>119</v>
      </c>
      <c r="J334">
        <v>240</v>
      </c>
      <c r="K334">
        <v>1</v>
      </c>
      <c r="L334" t="s">
        <v>22</v>
      </c>
      <c r="M334">
        <f>Table1[[#This Row],[ApplicantIncome]]+Table1[[#This Row],[CoapplicantIncome]]</f>
        <v>6338</v>
      </c>
      <c r="N334">
        <f>Table1[[#This Row],[LoanAmount]] /Table1[[#This Row],[Total_Income ]]</f>
        <v>1.8775639002840013E-2</v>
      </c>
      <c r="O334">
        <f>Table1[[#This Row],[LoanAmount]]/Table1[[#This Row],[Loan_Amount_Term]]</f>
        <v>0.49583333333333335</v>
      </c>
      <c r="P334">
        <f>IF(Table1[[#This Row],[Total_Income ]]&gt;=AVERAGE(Table1[[#This Row],[Total_Income ]]),1,0)</f>
        <v>1</v>
      </c>
      <c r="Q334">
        <f>IF(Table1[[#This Row],[LoanAmount]]&gt;=AVERAGE(Table1[[#This Row],[LoanAmount]]),1,0)</f>
        <v>1</v>
      </c>
    </row>
    <row r="335" spans="1:17">
      <c r="A335" t="s">
        <v>360</v>
      </c>
      <c r="B335" t="s">
        <v>18</v>
      </c>
      <c r="C335" t="s">
        <v>19</v>
      </c>
      <c r="D335" s="1">
        <v>1</v>
      </c>
      <c r="E335" t="s">
        <v>20</v>
      </c>
      <c r="F335" t="s">
        <v>21</v>
      </c>
      <c r="G335">
        <v>4709</v>
      </c>
      <c r="H335">
        <v>0</v>
      </c>
      <c r="I335">
        <v>87</v>
      </c>
      <c r="J335">
        <v>360</v>
      </c>
      <c r="K335">
        <v>1</v>
      </c>
      <c r="L335" t="s">
        <v>31</v>
      </c>
      <c r="M335">
        <f>Table1[[#This Row],[ApplicantIncome]]+Table1[[#This Row],[CoapplicantIncome]]</f>
        <v>4709</v>
      </c>
      <c r="N335">
        <f>Table1[[#This Row],[LoanAmount]] /Table1[[#This Row],[Total_Income ]]</f>
        <v>1.8475260140157147E-2</v>
      </c>
      <c r="O335">
        <f>Table1[[#This Row],[LoanAmount]]/Table1[[#This Row],[Loan_Amount_Term]]</f>
        <v>0.24166666666666667</v>
      </c>
      <c r="P335">
        <f>IF(Table1[[#This Row],[Total_Income ]]&gt;=AVERAGE(Table1[[#This Row],[Total_Income ]]),1,0)</f>
        <v>1</v>
      </c>
      <c r="Q335">
        <f>IF(Table1[[#This Row],[LoanAmount]]&gt;=AVERAGE(Table1[[#This Row],[LoanAmount]]),1,0)</f>
        <v>1</v>
      </c>
    </row>
    <row r="336" spans="1:17">
      <c r="A336" t="s">
        <v>361</v>
      </c>
      <c r="B336" t="s">
        <v>18</v>
      </c>
      <c r="C336" t="s">
        <v>19</v>
      </c>
      <c r="D336" s="1">
        <v>0</v>
      </c>
      <c r="E336" t="s">
        <v>20</v>
      </c>
      <c r="F336" t="s">
        <v>21</v>
      </c>
      <c r="G336">
        <v>1516</v>
      </c>
      <c r="H336">
        <v>1951</v>
      </c>
      <c r="I336">
        <v>162</v>
      </c>
      <c r="J336">
        <v>180</v>
      </c>
      <c r="K336">
        <v>1</v>
      </c>
      <c r="L336" t="s">
        <v>31</v>
      </c>
      <c r="M336">
        <f>Table1[[#This Row],[ApplicantIncome]]+Table1[[#This Row],[CoapplicantIncome]]</f>
        <v>3467</v>
      </c>
      <c r="N336">
        <f>Table1[[#This Row],[LoanAmount]] /Table1[[#This Row],[Total_Income ]]</f>
        <v>4.6726276319584654E-2</v>
      </c>
      <c r="O336">
        <f>Table1[[#This Row],[LoanAmount]]/Table1[[#This Row],[Loan_Amount_Term]]</f>
        <v>0.9</v>
      </c>
      <c r="P336">
        <f>IF(Table1[[#This Row],[Total_Income ]]&gt;=AVERAGE(Table1[[#This Row],[Total_Income ]]),1,0)</f>
        <v>1</v>
      </c>
      <c r="Q336">
        <f>IF(Table1[[#This Row],[LoanAmount]]&gt;=AVERAGE(Table1[[#This Row],[LoanAmount]]),1,0)</f>
        <v>1</v>
      </c>
    </row>
    <row r="337" spans="1:17">
      <c r="A337" t="s">
        <v>362</v>
      </c>
      <c r="B337" t="s">
        <v>18</v>
      </c>
      <c r="C337" t="s">
        <v>21</v>
      </c>
      <c r="D337" s="1" t="s">
        <v>39</v>
      </c>
      <c r="E337" t="s">
        <v>20</v>
      </c>
      <c r="F337" t="s">
        <v>21</v>
      </c>
      <c r="G337">
        <v>2400</v>
      </c>
      <c r="H337">
        <v>0</v>
      </c>
      <c r="I337">
        <v>122</v>
      </c>
      <c r="J337">
        <v>360</v>
      </c>
      <c r="K337">
        <v>1</v>
      </c>
      <c r="L337" t="s">
        <v>22</v>
      </c>
      <c r="M337">
        <f>Table1[[#This Row],[ApplicantIncome]]+Table1[[#This Row],[CoapplicantIncome]]</f>
        <v>2400</v>
      </c>
      <c r="N337">
        <f>Table1[[#This Row],[LoanAmount]] /Table1[[#This Row],[Total_Income ]]</f>
        <v>5.0833333333333335E-2</v>
      </c>
      <c r="O337">
        <f>Table1[[#This Row],[LoanAmount]]/Table1[[#This Row],[Loan_Amount_Term]]</f>
        <v>0.33888888888888891</v>
      </c>
      <c r="P337">
        <f>IF(Table1[[#This Row],[Total_Income ]]&gt;=AVERAGE(Table1[[#This Row],[Total_Income ]]),1,0)</f>
        <v>1</v>
      </c>
      <c r="Q337">
        <f>IF(Table1[[#This Row],[LoanAmount]]&gt;=AVERAGE(Table1[[#This Row],[LoanAmount]]),1,0)</f>
        <v>1</v>
      </c>
    </row>
    <row r="338" spans="1:17">
      <c r="A338" t="s">
        <v>363</v>
      </c>
      <c r="B338" t="s">
        <v>18</v>
      </c>
      <c r="C338" t="s">
        <v>21</v>
      </c>
      <c r="D338" s="1">
        <v>0</v>
      </c>
      <c r="E338" t="s">
        <v>27</v>
      </c>
      <c r="F338" t="s">
        <v>21</v>
      </c>
      <c r="G338">
        <v>3015</v>
      </c>
      <c r="H338">
        <v>2000</v>
      </c>
      <c r="I338">
        <v>187</v>
      </c>
      <c r="J338">
        <v>180</v>
      </c>
      <c r="K338">
        <v>1</v>
      </c>
      <c r="L338" t="s">
        <v>22</v>
      </c>
      <c r="M338">
        <f>Table1[[#This Row],[ApplicantIncome]]+Table1[[#This Row],[CoapplicantIncome]]</f>
        <v>5015</v>
      </c>
      <c r="N338">
        <f>Table1[[#This Row],[LoanAmount]] /Table1[[#This Row],[Total_Income ]]</f>
        <v>3.7288135593220341E-2</v>
      </c>
      <c r="O338">
        <f>Table1[[#This Row],[LoanAmount]]/Table1[[#This Row],[Loan_Amount_Term]]</f>
        <v>1.038888888888889</v>
      </c>
      <c r="P338">
        <f>IF(Table1[[#This Row],[Total_Income ]]&gt;=AVERAGE(Table1[[#This Row],[Total_Income ]]),1,0)</f>
        <v>1</v>
      </c>
      <c r="Q338">
        <f>IF(Table1[[#This Row],[LoanAmount]]&gt;=AVERAGE(Table1[[#This Row],[LoanAmount]]),1,0)</f>
        <v>1</v>
      </c>
    </row>
    <row r="339" spans="1:17">
      <c r="A339" t="s">
        <v>364</v>
      </c>
      <c r="B339" t="s">
        <v>18</v>
      </c>
      <c r="C339" t="s">
        <v>19</v>
      </c>
      <c r="D339" s="1">
        <v>0</v>
      </c>
      <c r="E339" t="s">
        <v>20</v>
      </c>
      <c r="F339" t="s">
        <v>21</v>
      </c>
      <c r="G339">
        <v>2292</v>
      </c>
      <c r="H339">
        <v>1558</v>
      </c>
      <c r="I339">
        <v>81</v>
      </c>
      <c r="J339">
        <v>360</v>
      </c>
      <c r="K339">
        <v>1</v>
      </c>
      <c r="L339" t="s">
        <v>22</v>
      </c>
      <c r="M339">
        <f>Table1[[#This Row],[ApplicantIncome]]+Table1[[#This Row],[CoapplicantIncome]]</f>
        <v>3850</v>
      </c>
      <c r="N339">
        <f>Table1[[#This Row],[LoanAmount]] /Table1[[#This Row],[Total_Income ]]</f>
        <v>2.1038961038961038E-2</v>
      </c>
      <c r="O339">
        <f>Table1[[#This Row],[LoanAmount]]/Table1[[#This Row],[Loan_Amount_Term]]</f>
        <v>0.22500000000000001</v>
      </c>
      <c r="P339">
        <f>IF(Table1[[#This Row],[Total_Income ]]&gt;=AVERAGE(Table1[[#This Row],[Total_Income ]]),1,0)</f>
        <v>1</v>
      </c>
      <c r="Q339">
        <f>IF(Table1[[#This Row],[LoanAmount]]&gt;=AVERAGE(Table1[[#This Row],[LoanAmount]]),1,0)</f>
        <v>1</v>
      </c>
    </row>
  </sheetData>
  <pageMargins left="0.7" right="0.7" top="0.75" bottom="0.75" header="0.511811023622047" footer="0.511811023622047"/>
  <pageSetup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1FD15-CA5D-41C0-95C5-DF527B1F0D3B}">
  <dimension ref="A6:AD75"/>
  <sheetViews>
    <sheetView showGridLines="0" zoomScale="34" workbookViewId="0">
      <selection activeCell="AI45" sqref="AI45"/>
    </sheetView>
  </sheetViews>
  <sheetFormatPr defaultRowHeight="12.5"/>
  <cols>
    <col min="10" max="10" width="10.36328125" customWidth="1"/>
  </cols>
  <sheetData>
    <row r="6" spans="1:30">
      <c r="A6" s="6"/>
      <c r="B6" s="6"/>
      <c r="C6" s="6"/>
      <c r="D6" s="6"/>
      <c r="E6" s="6"/>
      <c r="F6" s="6"/>
      <c r="G6" s="6"/>
      <c r="H6" s="6"/>
      <c r="I6" s="6"/>
      <c r="J6" s="6"/>
      <c r="K6" s="6"/>
      <c r="L6" s="6"/>
      <c r="M6" s="6"/>
      <c r="N6" s="6"/>
      <c r="O6" s="6"/>
      <c r="P6" s="6"/>
      <c r="Q6" s="6"/>
      <c r="R6" s="6"/>
      <c r="S6" s="6"/>
      <c r="T6" s="6"/>
      <c r="U6" s="6"/>
      <c r="V6" s="6"/>
      <c r="W6" s="6"/>
      <c r="X6" s="6"/>
      <c r="Y6" s="6"/>
      <c r="Z6" s="6"/>
      <c r="AA6" s="6"/>
      <c r="AB6" s="6"/>
      <c r="AC6" s="6"/>
      <c r="AD6" s="6"/>
    </row>
    <row r="7" spans="1:30">
      <c r="A7" s="6"/>
      <c r="B7" s="6"/>
      <c r="C7" s="6"/>
      <c r="D7" s="6"/>
      <c r="E7" s="6"/>
      <c r="F7" s="6"/>
      <c r="G7" s="6"/>
      <c r="H7" s="6"/>
      <c r="I7" s="6"/>
      <c r="J7" s="6"/>
      <c r="K7" s="6"/>
      <c r="L7" s="6"/>
      <c r="M7" s="6"/>
      <c r="N7" s="6"/>
      <c r="O7" s="6"/>
      <c r="P7" s="6"/>
      <c r="Q7" s="6"/>
      <c r="R7" s="6"/>
      <c r="S7" s="6"/>
      <c r="T7" s="6"/>
      <c r="U7" s="6"/>
      <c r="V7" s="6"/>
      <c r="W7" s="6"/>
      <c r="X7" s="6"/>
      <c r="Y7" s="6"/>
      <c r="Z7" s="6"/>
      <c r="AA7" s="6"/>
      <c r="AB7" s="6"/>
      <c r="AC7" s="6"/>
      <c r="AD7" s="6"/>
    </row>
    <row r="8" spans="1:30">
      <c r="A8" s="6"/>
      <c r="B8" s="6"/>
      <c r="C8" s="6"/>
      <c r="D8" s="6"/>
      <c r="E8" s="6"/>
      <c r="F8" s="6"/>
      <c r="G8" s="6"/>
      <c r="H8" s="6"/>
      <c r="I8" s="6"/>
      <c r="J8" s="6"/>
      <c r="K8" s="6"/>
      <c r="L8" s="6"/>
      <c r="M8" s="6"/>
      <c r="N8" s="6"/>
      <c r="O8" s="6"/>
      <c r="P8" s="6"/>
      <c r="Q8" s="6"/>
      <c r="R8" s="6"/>
      <c r="S8" s="6"/>
      <c r="T8" s="6"/>
      <c r="U8" s="6"/>
      <c r="V8" s="6"/>
      <c r="W8" s="6"/>
      <c r="X8" s="6"/>
      <c r="Y8" s="6"/>
      <c r="Z8" s="6"/>
      <c r="AA8" s="6"/>
      <c r="AB8" s="6"/>
      <c r="AC8" s="6"/>
      <c r="AD8" s="6"/>
    </row>
    <row r="9" spans="1:30">
      <c r="A9" s="6"/>
      <c r="B9" s="6"/>
      <c r="C9" s="6"/>
      <c r="D9" s="6"/>
      <c r="E9" s="6"/>
      <c r="F9" s="6"/>
      <c r="G9" s="6"/>
      <c r="H9" s="6"/>
      <c r="I9" s="6"/>
      <c r="J9" s="6"/>
      <c r="K9" s="6"/>
      <c r="L9" s="6"/>
      <c r="M9" s="6"/>
      <c r="N9" s="6"/>
      <c r="O9" s="6"/>
      <c r="P9" s="6"/>
      <c r="Q9" s="6"/>
      <c r="R9" s="6"/>
      <c r="S9" s="6"/>
      <c r="T9" s="6"/>
      <c r="U9" s="6"/>
      <c r="V9" s="6"/>
      <c r="W9" s="6"/>
      <c r="X9" s="6"/>
      <c r="Y9" s="6"/>
      <c r="Z9" s="6"/>
      <c r="AA9" s="6"/>
      <c r="AB9" s="6"/>
      <c r="AC9" s="6"/>
      <c r="AD9" s="6"/>
    </row>
    <row r="10" spans="1:30">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row>
    <row r="11" spans="1:30">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row>
    <row r="12" spans="1:30">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row>
    <row r="13" spans="1:30">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row>
    <row r="14" spans="1:30">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row>
    <row r="15" spans="1:30">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row>
    <row r="16" spans="1:30">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row>
    <row r="17" spans="1:30">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row>
    <row r="18" spans="1:30">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row>
    <row r="19" spans="1:30">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row>
    <row r="20" spans="1:30">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row>
    <row r="21" spans="1:30" ht="13">
      <c r="A21" s="6"/>
      <c r="B21" s="6"/>
      <c r="C21" s="6"/>
      <c r="D21" s="6"/>
      <c r="E21" s="6"/>
      <c r="F21" s="6"/>
      <c r="G21" s="6"/>
      <c r="H21" s="6"/>
      <c r="I21" s="6"/>
      <c r="J21" s="6"/>
      <c r="K21" s="6"/>
      <c r="L21" s="6"/>
      <c r="M21" s="6"/>
      <c r="N21" s="7"/>
      <c r="O21" s="6"/>
      <c r="P21" s="6"/>
      <c r="Q21" s="6"/>
      <c r="R21" s="6"/>
      <c r="S21" s="6"/>
      <c r="T21" s="6"/>
      <c r="U21" s="6"/>
      <c r="V21" s="6"/>
      <c r="W21" s="6"/>
      <c r="X21" s="6"/>
      <c r="Y21" s="6"/>
      <c r="Z21" s="6"/>
      <c r="AA21" s="6"/>
      <c r="AB21" s="6"/>
      <c r="AC21" s="6"/>
      <c r="AD21" s="6"/>
    </row>
    <row r="22" spans="1:30">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row>
    <row r="23" spans="1:30">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row>
    <row r="24" spans="1:30">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row>
    <row r="25" spans="1:30">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row>
    <row r="26" spans="1:30">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row>
    <row r="27" spans="1:30">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row>
    <row r="28" spans="1:30">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row>
    <row r="29" spans="1:30">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row>
    <row r="30" spans="1:30">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row>
    <row r="31" spans="1:30">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row>
    <row r="32" spans="1:30">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row>
    <row r="33" spans="1:30">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row>
    <row r="34" spans="1:30">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row>
    <row r="35" spans="1:30">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row>
    <row r="36" spans="1:30">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row>
    <row r="37" spans="1:30">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row>
    <row r="38" spans="1:30">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row>
    <row r="39" spans="1:30">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row>
    <row r="40" spans="1:30">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row>
    <row r="41" spans="1:30">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row>
    <row r="42" spans="1:30">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row>
    <row r="43" spans="1:30">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row>
    <row r="44" spans="1:30">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row>
    <row r="45" spans="1:30">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row>
    <row r="46" spans="1:30">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row>
    <row r="47" spans="1:30">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row>
    <row r="48" spans="1:30">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row>
    <row r="49" spans="1:30">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row>
    <row r="50" spans="1:3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row>
    <row r="51" spans="1:30">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row>
    <row r="52" spans="1:30">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row>
    <row r="53" spans="1:30">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row>
    <row r="54" spans="1:30">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row>
    <row r="55" spans="1:30">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row>
    <row r="56" spans="1:30">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row>
    <row r="57" spans="1:30">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row>
    <row r="58" spans="1:30">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row>
    <row r="59" spans="1:30">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row>
    <row r="60" spans="1:3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row>
    <row r="61" spans="1:30">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row>
    <row r="62" spans="1:30">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row>
    <row r="63" spans="1:30">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row>
    <row r="64" spans="1:30">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row>
    <row r="65" spans="1:30">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row>
    <row r="66" spans="1:30">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row>
    <row r="67" spans="1:30">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row>
    <row r="68" spans="1:30">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row>
    <row r="69" spans="1:30">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row>
    <row r="70" spans="1:3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row>
    <row r="71" spans="1:30">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row>
    <row r="72" spans="1:30">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row>
    <row r="73" spans="1:30">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row>
    <row r="74" spans="1:30">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row>
    <row r="75" spans="1:30">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row>
  </sheetData>
  <pageMargins left="0.7" right="0.7" top="0.75" bottom="0.75" header="0.3" footer="0.3"/>
  <pageSetup orientation="portrait" r:id="rId1"/>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39"/>
  <sheetViews>
    <sheetView topLeftCell="F304" zoomScale="69" zoomScaleNormal="87" workbookViewId="0">
      <selection activeCell="F24" sqref="F24"/>
    </sheetView>
  </sheetViews>
  <sheetFormatPr defaultColWidth="8.453125" defaultRowHeight="12.5"/>
  <cols>
    <col min="1" max="1" width="17.26953125" customWidth="1"/>
    <col min="2" max="2" width="17.453125" customWidth="1"/>
    <col min="3" max="3" width="15.1796875" customWidth="1"/>
    <col min="4" max="4" width="19.81640625" style="1" customWidth="1"/>
    <col min="5" max="5" width="18.90625" customWidth="1"/>
    <col min="6" max="6" width="23" customWidth="1"/>
    <col min="7" max="7" width="22.7265625" customWidth="1"/>
    <col min="8" max="8" width="23.90625" customWidth="1"/>
    <col min="9" max="9" width="19.36328125" customWidth="1"/>
    <col min="10" max="10" width="24.6328125" customWidth="1"/>
    <col min="11" max="11" width="18.7265625" customWidth="1"/>
    <col min="12" max="12" width="20.81640625" customWidth="1"/>
    <col min="13" max="13" width="17.81640625" customWidth="1"/>
    <col min="14" max="14" width="29.36328125" customWidth="1"/>
    <col min="15" max="15" width="32.54296875" customWidth="1"/>
    <col min="16" max="16" width="28.08984375" customWidth="1"/>
  </cols>
  <sheetData>
    <row r="1" spans="1:16">
      <c r="A1" s="2" t="s">
        <v>0</v>
      </c>
      <c r="B1" s="2" t="s">
        <v>1</v>
      </c>
      <c r="C1" s="2" t="s">
        <v>2</v>
      </c>
      <c r="D1" s="2" t="s">
        <v>3</v>
      </c>
      <c r="E1" s="2" t="s">
        <v>4</v>
      </c>
      <c r="F1" s="2" t="s">
        <v>5</v>
      </c>
      <c r="G1" s="2" t="s">
        <v>6</v>
      </c>
      <c r="H1" s="2" t="s">
        <v>7</v>
      </c>
      <c r="I1" s="2" t="s">
        <v>8</v>
      </c>
      <c r="J1" s="2" t="s">
        <v>9</v>
      </c>
      <c r="K1" s="2" t="s">
        <v>10</v>
      </c>
      <c r="L1" s="2" t="s">
        <v>11</v>
      </c>
      <c r="M1" s="2" t="s">
        <v>12</v>
      </c>
      <c r="N1" s="2" t="s">
        <v>365</v>
      </c>
      <c r="O1" s="2" t="s">
        <v>366</v>
      </c>
      <c r="P1" s="2" t="s">
        <v>15</v>
      </c>
    </row>
    <row r="2" spans="1:16">
      <c r="A2" t="s">
        <v>17</v>
      </c>
      <c r="B2" t="s">
        <v>18</v>
      </c>
      <c r="C2" t="s">
        <v>19</v>
      </c>
      <c r="D2" s="1">
        <v>0</v>
      </c>
      <c r="E2" t="s">
        <v>20</v>
      </c>
      <c r="F2" t="s">
        <v>21</v>
      </c>
      <c r="G2">
        <v>5720</v>
      </c>
      <c r="H2">
        <v>0</v>
      </c>
      <c r="I2">
        <v>110</v>
      </c>
      <c r="J2">
        <v>360</v>
      </c>
      <c r="K2">
        <v>1</v>
      </c>
      <c r="L2" t="s">
        <v>22</v>
      </c>
      <c r="M2">
        <f>Table2[[#This Row],[ApplicantIncome]]+Table2[[#This Row],[CoapplicantIncome]]</f>
        <v>5720</v>
      </c>
      <c r="N2">
        <f>Table2[[#This Row],[LoanAmount]]/Table2[[#This Row],[Total_Income ]]</f>
        <v>1.9230769230769232E-2</v>
      </c>
      <c r="O2">
        <f>Table2[[#This Row],[LoanAmount]]/Table2[[#This Row],[Loan_Amount_Term]]</f>
        <v>0.30555555555555558</v>
      </c>
      <c r="P2">
        <f>IF(Table2[[#This Row],[Total_Income ]]&gt;=AVERAGE(Table2[[#This Row],[Total_Income ]]),1,0)</f>
        <v>1</v>
      </c>
    </row>
    <row r="3" spans="1:16">
      <c r="A3" t="s">
        <v>23</v>
      </c>
      <c r="B3" t="s">
        <v>18</v>
      </c>
      <c r="C3" t="s">
        <v>19</v>
      </c>
      <c r="D3" s="1">
        <v>1</v>
      </c>
      <c r="E3" t="s">
        <v>20</v>
      </c>
      <c r="F3" t="s">
        <v>21</v>
      </c>
      <c r="G3">
        <v>3076</v>
      </c>
      <c r="H3">
        <v>1500</v>
      </c>
      <c r="I3">
        <v>126</v>
      </c>
      <c r="J3">
        <v>360</v>
      </c>
      <c r="K3">
        <v>1</v>
      </c>
      <c r="L3" t="s">
        <v>22</v>
      </c>
      <c r="M3">
        <f>Table2[[#This Row],[ApplicantIncome]]+Table2[[#This Row],[CoapplicantIncome]]</f>
        <v>4576</v>
      </c>
      <c r="N3">
        <f>Table2[[#This Row],[LoanAmount]]/Table2[[#This Row],[Total_Income ]]</f>
        <v>2.7534965034965036E-2</v>
      </c>
      <c r="O3">
        <f>Table2[[#This Row],[LoanAmount]]/Table2[[#This Row],[Loan_Amount_Term]]</f>
        <v>0.35</v>
      </c>
      <c r="P3">
        <f>IF(Table2[[#This Row],[Total_Income ]]&gt;=AVERAGE(Table2[[#This Row],[Total_Income ]]),1,0)</f>
        <v>1</v>
      </c>
    </row>
    <row r="4" spans="1:16">
      <c r="A4" t="s">
        <v>24</v>
      </c>
      <c r="B4" t="s">
        <v>18</v>
      </c>
      <c r="C4" t="s">
        <v>19</v>
      </c>
      <c r="D4" s="1">
        <v>2</v>
      </c>
      <c r="E4" t="s">
        <v>20</v>
      </c>
      <c r="F4" t="s">
        <v>21</v>
      </c>
      <c r="G4">
        <v>5000</v>
      </c>
      <c r="H4">
        <v>1800</v>
      </c>
      <c r="I4">
        <v>208</v>
      </c>
      <c r="J4">
        <v>360</v>
      </c>
      <c r="K4">
        <v>1</v>
      </c>
      <c r="L4" t="s">
        <v>22</v>
      </c>
      <c r="M4">
        <f>Table2[[#This Row],[ApplicantIncome]]+Table2[[#This Row],[CoapplicantIncome]]</f>
        <v>6800</v>
      </c>
      <c r="N4">
        <f>Table2[[#This Row],[LoanAmount]]/Table2[[#This Row],[Total_Income ]]</f>
        <v>3.0588235294117649E-2</v>
      </c>
      <c r="O4">
        <f>Table2[[#This Row],[LoanAmount]]/Table2[[#This Row],[Loan_Amount_Term]]</f>
        <v>0.57777777777777772</v>
      </c>
      <c r="P4">
        <f>IF(Table2[[#This Row],[Total_Income ]]&gt;=AVERAGE(Table2[[#This Row],[Total_Income ]]),1,0)</f>
        <v>1</v>
      </c>
    </row>
    <row r="5" spans="1:16">
      <c r="A5" t="s">
        <v>25</v>
      </c>
      <c r="B5" t="s">
        <v>18</v>
      </c>
      <c r="C5" t="s">
        <v>19</v>
      </c>
      <c r="D5" s="1">
        <v>2</v>
      </c>
      <c r="E5" t="s">
        <v>20</v>
      </c>
      <c r="F5" t="s">
        <v>21</v>
      </c>
      <c r="G5">
        <v>2340</v>
      </c>
      <c r="H5">
        <v>2546</v>
      </c>
      <c r="I5">
        <v>100</v>
      </c>
      <c r="J5">
        <v>360</v>
      </c>
      <c r="K5">
        <v>1</v>
      </c>
      <c r="L5" t="s">
        <v>22</v>
      </c>
      <c r="M5">
        <f>Table2[[#This Row],[ApplicantIncome]]+Table2[[#This Row],[CoapplicantIncome]]</f>
        <v>4886</v>
      </c>
      <c r="N5">
        <f>Table2[[#This Row],[LoanAmount]]/Table2[[#This Row],[Total_Income ]]</f>
        <v>2.0466639377814164E-2</v>
      </c>
      <c r="O5">
        <f>Table2[[#This Row],[LoanAmount]]/Table2[[#This Row],[Loan_Amount_Term]]</f>
        <v>0.27777777777777779</v>
      </c>
      <c r="P5">
        <f>IF(Table2[[#This Row],[Total_Income ]]&gt;=AVERAGE(Table2[[#This Row],[Total_Income ]]),1,0)</f>
        <v>1</v>
      </c>
    </row>
    <row r="6" spans="1:16">
      <c r="A6" t="s">
        <v>26</v>
      </c>
      <c r="B6" t="s">
        <v>18</v>
      </c>
      <c r="C6" t="s">
        <v>21</v>
      </c>
      <c r="D6" s="1">
        <v>0</v>
      </c>
      <c r="E6" t="s">
        <v>27</v>
      </c>
      <c r="F6" t="s">
        <v>21</v>
      </c>
      <c r="G6">
        <v>3276</v>
      </c>
      <c r="H6">
        <v>0</v>
      </c>
      <c r="I6">
        <v>78</v>
      </c>
      <c r="J6">
        <v>360</v>
      </c>
      <c r="K6">
        <v>1</v>
      </c>
      <c r="L6" t="s">
        <v>22</v>
      </c>
      <c r="M6">
        <f>Table2[[#This Row],[ApplicantIncome]]+Table2[[#This Row],[CoapplicantIncome]]</f>
        <v>3276</v>
      </c>
      <c r="N6">
        <f>Table2[[#This Row],[LoanAmount]]/Table2[[#This Row],[Total_Income ]]</f>
        <v>2.3809523809523808E-2</v>
      </c>
      <c r="O6">
        <f>Table2[[#This Row],[LoanAmount]]/Table2[[#This Row],[Loan_Amount_Term]]</f>
        <v>0.21666666666666667</v>
      </c>
      <c r="P6">
        <f>IF(Table2[[#This Row],[Total_Income ]]&gt;=AVERAGE(Table2[[#This Row],[Total_Income ]]),1,0)</f>
        <v>1</v>
      </c>
    </row>
    <row r="7" spans="1:16">
      <c r="A7" t="s">
        <v>28</v>
      </c>
      <c r="B7" t="s">
        <v>18</v>
      </c>
      <c r="C7" t="s">
        <v>19</v>
      </c>
      <c r="D7" s="1">
        <v>0</v>
      </c>
      <c r="E7" t="s">
        <v>27</v>
      </c>
      <c r="F7" t="s">
        <v>19</v>
      </c>
      <c r="G7">
        <v>2165</v>
      </c>
      <c r="H7">
        <v>3422</v>
      </c>
      <c r="I7">
        <v>152</v>
      </c>
      <c r="J7">
        <v>360</v>
      </c>
      <c r="K7">
        <v>1</v>
      </c>
      <c r="L7" t="s">
        <v>22</v>
      </c>
      <c r="M7">
        <f>Table2[[#This Row],[ApplicantIncome]]+Table2[[#This Row],[CoapplicantIncome]]</f>
        <v>5587</v>
      </c>
      <c r="N7">
        <f>Table2[[#This Row],[LoanAmount]]/Table2[[#This Row],[Total_Income ]]</f>
        <v>2.7206013960980848E-2</v>
      </c>
      <c r="O7">
        <f>Table2[[#This Row],[LoanAmount]]/Table2[[#This Row],[Loan_Amount_Term]]</f>
        <v>0.42222222222222222</v>
      </c>
      <c r="P7">
        <f>IF(Table2[[#This Row],[Total_Income ]]&gt;=AVERAGE(Table2[[#This Row],[Total_Income ]]),1,0)</f>
        <v>1</v>
      </c>
    </row>
    <row r="8" spans="1:16">
      <c r="A8" t="s">
        <v>29</v>
      </c>
      <c r="B8" t="s">
        <v>30</v>
      </c>
      <c r="C8" t="s">
        <v>21</v>
      </c>
      <c r="D8" s="1">
        <v>1</v>
      </c>
      <c r="E8" t="s">
        <v>27</v>
      </c>
      <c r="F8" t="s">
        <v>21</v>
      </c>
      <c r="G8">
        <v>2226</v>
      </c>
      <c r="H8">
        <v>0</v>
      </c>
      <c r="I8">
        <v>59</v>
      </c>
      <c r="J8">
        <v>360</v>
      </c>
      <c r="K8">
        <v>0</v>
      </c>
      <c r="L8" t="s">
        <v>31</v>
      </c>
      <c r="M8">
        <f>Table2[[#This Row],[ApplicantIncome]]+Table2[[#This Row],[CoapplicantIncome]]</f>
        <v>2226</v>
      </c>
      <c r="N8">
        <f>Table2[[#This Row],[LoanAmount]]/Table2[[#This Row],[Total_Income ]]</f>
        <v>2.6504941599281222E-2</v>
      </c>
      <c r="O8">
        <f>Table2[[#This Row],[LoanAmount]]/Table2[[#This Row],[Loan_Amount_Term]]</f>
        <v>0.16388888888888889</v>
      </c>
      <c r="P8">
        <f>IF(Table2[[#This Row],[Total_Income ]]&gt;=AVERAGE(Table2[[#This Row],[Total_Income ]]),1,0)</f>
        <v>1</v>
      </c>
    </row>
    <row r="9" spans="1:16">
      <c r="A9" t="s">
        <v>32</v>
      </c>
      <c r="B9" t="s">
        <v>18</v>
      </c>
      <c r="C9" t="s">
        <v>19</v>
      </c>
      <c r="D9" s="1">
        <v>2</v>
      </c>
      <c r="E9" t="s">
        <v>27</v>
      </c>
      <c r="F9" t="s">
        <v>21</v>
      </c>
      <c r="G9">
        <v>3881</v>
      </c>
      <c r="H9">
        <v>0</v>
      </c>
      <c r="I9">
        <v>147</v>
      </c>
      <c r="J9">
        <v>360</v>
      </c>
      <c r="K9">
        <v>1</v>
      </c>
      <c r="L9" t="s">
        <v>33</v>
      </c>
      <c r="M9">
        <f>Table2[[#This Row],[ApplicantIncome]]+Table2[[#This Row],[CoapplicantIncome]]</f>
        <v>3881</v>
      </c>
      <c r="N9">
        <f>Table2[[#This Row],[LoanAmount]]/Table2[[#This Row],[Total_Income ]]</f>
        <v>3.787683586704458E-2</v>
      </c>
      <c r="O9">
        <f>Table2[[#This Row],[LoanAmount]]/Table2[[#This Row],[Loan_Amount_Term]]</f>
        <v>0.40833333333333333</v>
      </c>
      <c r="P9">
        <f>IF(Table2[[#This Row],[Total_Income ]]&gt;=AVERAGE(Table2[[#This Row],[Total_Income ]]),1,0)</f>
        <v>1</v>
      </c>
    </row>
    <row r="10" spans="1:16">
      <c r="A10" t="s">
        <v>34</v>
      </c>
      <c r="B10" t="s">
        <v>18</v>
      </c>
      <c r="C10" t="s">
        <v>19</v>
      </c>
      <c r="D10" s="1">
        <v>2</v>
      </c>
      <c r="E10" t="s">
        <v>20</v>
      </c>
      <c r="F10" t="s">
        <v>21</v>
      </c>
      <c r="G10">
        <v>13633</v>
      </c>
      <c r="H10">
        <v>0</v>
      </c>
      <c r="I10">
        <v>280</v>
      </c>
      <c r="J10">
        <v>240</v>
      </c>
      <c r="K10">
        <v>1</v>
      </c>
      <c r="L10" t="s">
        <v>22</v>
      </c>
      <c r="M10">
        <f>Table2[[#This Row],[ApplicantIncome]]+Table2[[#This Row],[CoapplicantIncome]]</f>
        <v>13633</v>
      </c>
      <c r="N10">
        <f>Table2[[#This Row],[LoanAmount]]/Table2[[#This Row],[Total_Income ]]</f>
        <v>2.0538399471869726E-2</v>
      </c>
      <c r="O10">
        <f>Table2[[#This Row],[LoanAmount]]/Table2[[#This Row],[Loan_Amount_Term]]</f>
        <v>1.1666666666666667</v>
      </c>
      <c r="P10">
        <f>IF(Table2[[#This Row],[Total_Income ]]&gt;=AVERAGE(Table2[[#This Row],[Total_Income ]]),1,0)</f>
        <v>1</v>
      </c>
    </row>
    <row r="11" spans="1:16">
      <c r="A11" t="s">
        <v>35</v>
      </c>
      <c r="B11" t="s">
        <v>18</v>
      </c>
      <c r="C11" t="s">
        <v>21</v>
      </c>
      <c r="D11" s="1">
        <v>0</v>
      </c>
      <c r="E11" t="s">
        <v>27</v>
      </c>
      <c r="F11" t="s">
        <v>21</v>
      </c>
      <c r="G11">
        <v>2400</v>
      </c>
      <c r="H11">
        <v>2400</v>
      </c>
      <c r="I11">
        <v>123</v>
      </c>
      <c r="J11">
        <v>360</v>
      </c>
      <c r="K11">
        <v>1</v>
      </c>
      <c r="L11" t="s">
        <v>31</v>
      </c>
      <c r="M11">
        <f>Table2[[#This Row],[ApplicantIncome]]+Table2[[#This Row],[CoapplicantIncome]]</f>
        <v>4800</v>
      </c>
      <c r="N11">
        <f>Table2[[#This Row],[LoanAmount]]/Table2[[#This Row],[Total_Income ]]</f>
        <v>2.5624999999999998E-2</v>
      </c>
      <c r="O11">
        <f>Table2[[#This Row],[LoanAmount]]/Table2[[#This Row],[Loan_Amount_Term]]</f>
        <v>0.34166666666666667</v>
      </c>
      <c r="P11">
        <f>IF(Table2[[#This Row],[Total_Income ]]&gt;=AVERAGE(Table2[[#This Row],[Total_Income ]]),1,0)</f>
        <v>1</v>
      </c>
    </row>
    <row r="12" spans="1:16">
      <c r="A12" t="s">
        <v>36</v>
      </c>
      <c r="B12" t="s">
        <v>18</v>
      </c>
      <c r="C12" t="s">
        <v>21</v>
      </c>
      <c r="D12" s="1">
        <v>0</v>
      </c>
      <c r="E12" t="s">
        <v>27</v>
      </c>
      <c r="F12" t="s">
        <v>21</v>
      </c>
      <c r="G12">
        <v>3091</v>
      </c>
      <c r="H12">
        <v>0</v>
      </c>
      <c r="I12">
        <v>90</v>
      </c>
      <c r="J12">
        <v>360</v>
      </c>
      <c r="K12">
        <v>1</v>
      </c>
      <c r="L12" t="s">
        <v>22</v>
      </c>
      <c r="M12">
        <f>Table2[[#This Row],[ApplicantIncome]]+Table2[[#This Row],[CoapplicantIncome]]</f>
        <v>3091</v>
      </c>
      <c r="N12">
        <f>Table2[[#This Row],[LoanAmount]]/Table2[[#This Row],[Total_Income ]]</f>
        <v>2.9116790682626983E-2</v>
      </c>
      <c r="O12">
        <f>Table2[[#This Row],[LoanAmount]]/Table2[[#This Row],[Loan_Amount_Term]]</f>
        <v>0.25</v>
      </c>
      <c r="P12">
        <f>IF(Table2[[#This Row],[Total_Income ]]&gt;=AVERAGE(Table2[[#This Row],[Total_Income ]]),1,0)</f>
        <v>1</v>
      </c>
    </row>
    <row r="13" spans="1:16">
      <c r="A13" t="s">
        <v>37</v>
      </c>
      <c r="B13" t="s">
        <v>18</v>
      </c>
      <c r="C13" t="s">
        <v>19</v>
      </c>
      <c r="D13" s="1">
        <v>1</v>
      </c>
      <c r="E13" t="s">
        <v>20</v>
      </c>
      <c r="F13" t="s">
        <v>21</v>
      </c>
      <c r="G13">
        <v>2185</v>
      </c>
      <c r="H13">
        <v>1516</v>
      </c>
      <c r="I13">
        <v>162</v>
      </c>
      <c r="J13">
        <v>360</v>
      </c>
      <c r="K13">
        <v>0</v>
      </c>
      <c r="L13" t="s">
        <v>31</v>
      </c>
      <c r="M13">
        <f>Table2[[#This Row],[ApplicantIncome]]+Table2[[#This Row],[CoapplicantIncome]]</f>
        <v>3701</v>
      </c>
      <c r="N13">
        <f>Table2[[#This Row],[LoanAmount]]/Table2[[#This Row],[Total_Income ]]</f>
        <v>4.3771953526074034E-2</v>
      </c>
      <c r="O13">
        <f>Table2[[#This Row],[LoanAmount]]/Table2[[#This Row],[Loan_Amount_Term]]</f>
        <v>0.45</v>
      </c>
      <c r="P13">
        <f>IF(Table2[[#This Row],[Total_Income ]]&gt;=AVERAGE(Table2[[#This Row],[Total_Income ]]),1,0)</f>
        <v>1</v>
      </c>
    </row>
    <row r="14" spans="1:16">
      <c r="A14" t="s">
        <v>38</v>
      </c>
      <c r="B14" t="s">
        <v>18</v>
      </c>
      <c r="C14" t="s">
        <v>21</v>
      </c>
      <c r="D14" s="1" t="s">
        <v>39</v>
      </c>
      <c r="E14" t="s">
        <v>20</v>
      </c>
      <c r="F14" t="s">
        <v>21</v>
      </c>
      <c r="G14">
        <v>4166</v>
      </c>
      <c r="H14">
        <v>0</v>
      </c>
      <c r="I14">
        <v>40</v>
      </c>
      <c r="J14">
        <v>180</v>
      </c>
      <c r="K14">
        <v>1</v>
      </c>
      <c r="L14" t="s">
        <v>22</v>
      </c>
      <c r="M14">
        <f>Table2[[#This Row],[ApplicantIncome]]+Table2[[#This Row],[CoapplicantIncome]]</f>
        <v>4166</v>
      </c>
      <c r="N14">
        <f>Table2[[#This Row],[LoanAmount]]/Table2[[#This Row],[Total_Income ]]</f>
        <v>9.6015362457993279E-3</v>
      </c>
      <c r="O14">
        <f>Table2[[#This Row],[LoanAmount]]/Table2[[#This Row],[Loan_Amount_Term]]</f>
        <v>0.22222222222222221</v>
      </c>
      <c r="P14">
        <f>IF(Table2[[#This Row],[Total_Income ]]&gt;=AVERAGE(Table2[[#This Row],[Total_Income ]]),1,0)</f>
        <v>1</v>
      </c>
    </row>
    <row r="15" spans="1:16">
      <c r="A15" t="s">
        <v>40</v>
      </c>
      <c r="B15" t="s">
        <v>18</v>
      </c>
      <c r="C15" t="s">
        <v>19</v>
      </c>
      <c r="D15" s="1">
        <v>2</v>
      </c>
      <c r="E15" t="s">
        <v>20</v>
      </c>
      <c r="F15" t="s">
        <v>21</v>
      </c>
      <c r="G15">
        <v>12173</v>
      </c>
      <c r="H15">
        <v>0</v>
      </c>
      <c r="I15">
        <v>166</v>
      </c>
      <c r="J15">
        <v>360</v>
      </c>
      <c r="K15">
        <v>1</v>
      </c>
      <c r="L15" t="s">
        <v>31</v>
      </c>
      <c r="M15">
        <f>Table2[[#This Row],[ApplicantIncome]]+Table2[[#This Row],[CoapplicantIncome]]</f>
        <v>12173</v>
      </c>
      <c r="N15">
        <f>Table2[[#This Row],[LoanAmount]]/Table2[[#This Row],[Total_Income ]]</f>
        <v>1.363673704099236E-2</v>
      </c>
      <c r="O15">
        <f>Table2[[#This Row],[LoanAmount]]/Table2[[#This Row],[Loan_Amount_Term]]</f>
        <v>0.46111111111111114</v>
      </c>
      <c r="P15">
        <f>IF(Table2[[#This Row],[Total_Income ]]&gt;=AVERAGE(Table2[[#This Row],[Total_Income ]]),1,0)</f>
        <v>1</v>
      </c>
    </row>
    <row r="16" spans="1:16">
      <c r="A16" t="s">
        <v>41</v>
      </c>
      <c r="B16" t="s">
        <v>30</v>
      </c>
      <c r="C16" t="s">
        <v>21</v>
      </c>
      <c r="D16" s="1">
        <v>0</v>
      </c>
      <c r="E16" t="s">
        <v>20</v>
      </c>
      <c r="F16" t="s">
        <v>21</v>
      </c>
      <c r="G16">
        <v>4666</v>
      </c>
      <c r="H16">
        <v>0</v>
      </c>
      <c r="I16">
        <v>124</v>
      </c>
      <c r="J16">
        <v>360</v>
      </c>
      <c r="K16">
        <v>1</v>
      </c>
      <c r="L16" t="s">
        <v>31</v>
      </c>
      <c r="M16">
        <f>Table2[[#This Row],[ApplicantIncome]]+Table2[[#This Row],[CoapplicantIncome]]</f>
        <v>4666</v>
      </c>
      <c r="N16">
        <f>Table2[[#This Row],[LoanAmount]]/Table2[[#This Row],[Total_Income ]]</f>
        <v>2.6575225032147449E-2</v>
      </c>
      <c r="O16">
        <f>Table2[[#This Row],[LoanAmount]]/Table2[[#This Row],[Loan_Amount_Term]]</f>
        <v>0.34444444444444444</v>
      </c>
      <c r="P16">
        <f>IF(Table2[[#This Row],[Total_Income ]]&gt;=AVERAGE(Table2[[#This Row],[Total_Income ]]),1,0)</f>
        <v>1</v>
      </c>
    </row>
    <row r="17" spans="1:16">
      <c r="A17" t="s">
        <v>42</v>
      </c>
      <c r="B17" t="s">
        <v>18</v>
      </c>
      <c r="C17" t="s">
        <v>21</v>
      </c>
      <c r="D17" s="1">
        <v>1</v>
      </c>
      <c r="E17" t="s">
        <v>20</v>
      </c>
      <c r="F17" t="s">
        <v>21</v>
      </c>
      <c r="G17">
        <v>5667</v>
      </c>
      <c r="H17">
        <v>0</v>
      </c>
      <c r="I17">
        <v>131</v>
      </c>
      <c r="J17">
        <v>360</v>
      </c>
      <c r="K17">
        <v>1</v>
      </c>
      <c r="L17" t="s">
        <v>22</v>
      </c>
      <c r="M17">
        <f>Table2[[#This Row],[ApplicantIncome]]+Table2[[#This Row],[CoapplicantIncome]]</f>
        <v>5667</v>
      </c>
      <c r="N17">
        <f>Table2[[#This Row],[LoanAmount]]/Table2[[#This Row],[Total_Income ]]</f>
        <v>2.3116287277218987E-2</v>
      </c>
      <c r="O17">
        <f>Table2[[#This Row],[LoanAmount]]/Table2[[#This Row],[Loan_Amount_Term]]</f>
        <v>0.36388888888888887</v>
      </c>
      <c r="P17">
        <f>IF(Table2[[#This Row],[Total_Income ]]&gt;=AVERAGE(Table2[[#This Row],[Total_Income ]]),1,0)</f>
        <v>1</v>
      </c>
    </row>
    <row r="18" spans="1:16">
      <c r="A18" t="s">
        <v>43</v>
      </c>
      <c r="B18" t="s">
        <v>18</v>
      </c>
      <c r="C18" t="s">
        <v>19</v>
      </c>
      <c r="D18" s="1">
        <v>2</v>
      </c>
      <c r="E18" t="s">
        <v>20</v>
      </c>
      <c r="F18" t="s">
        <v>21</v>
      </c>
      <c r="G18">
        <v>4583</v>
      </c>
      <c r="H18">
        <v>2916</v>
      </c>
      <c r="I18">
        <v>200</v>
      </c>
      <c r="J18">
        <v>360</v>
      </c>
      <c r="K18">
        <v>1</v>
      </c>
      <c r="L18" t="s">
        <v>22</v>
      </c>
      <c r="M18">
        <f>Table2[[#This Row],[ApplicantIncome]]+Table2[[#This Row],[CoapplicantIncome]]</f>
        <v>7499</v>
      </c>
      <c r="N18">
        <f>Table2[[#This Row],[LoanAmount]]/Table2[[#This Row],[Total_Income ]]</f>
        <v>2.6670222696359516E-2</v>
      </c>
      <c r="O18">
        <f>Table2[[#This Row],[LoanAmount]]/Table2[[#This Row],[Loan_Amount_Term]]</f>
        <v>0.55555555555555558</v>
      </c>
      <c r="P18">
        <f>IF(Table2[[#This Row],[Total_Income ]]&gt;=AVERAGE(Table2[[#This Row],[Total_Income ]]),1,0)</f>
        <v>1</v>
      </c>
    </row>
    <row r="19" spans="1:16">
      <c r="A19" t="s">
        <v>44</v>
      </c>
      <c r="B19" t="s">
        <v>18</v>
      </c>
      <c r="C19" t="s">
        <v>19</v>
      </c>
      <c r="D19" s="1" t="s">
        <v>39</v>
      </c>
      <c r="E19" t="s">
        <v>20</v>
      </c>
      <c r="F19" t="s">
        <v>21</v>
      </c>
      <c r="G19">
        <v>3786</v>
      </c>
      <c r="H19">
        <v>333</v>
      </c>
      <c r="I19">
        <v>126</v>
      </c>
      <c r="J19">
        <v>360</v>
      </c>
      <c r="K19">
        <v>1</v>
      </c>
      <c r="L19" t="s">
        <v>31</v>
      </c>
      <c r="M19">
        <f>Table2[[#This Row],[ApplicantIncome]]+Table2[[#This Row],[CoapplicantIncome]]</f>
        <v>4119</v>
      </c>
      <c r="N19">
        <f>Table2[[#This Row],[LoanAmount]]/Table2[[#This Row],[Total_Income ]]</f>
        <v>3.058994901675164E-2</v>
      </c>
      <c r="O19">
        <f>Table2[[#This Row],[LoanAmount]]/Table2[[#This Row],[Loan_Amount_Term]]</f>
        <v>0.35</v>
      </c>
      <c r="P19">
        <f>IF(Table2[[#This Row],[Total_Income ]]&gt;=AVERAGE(Table2[[#This Row],[Total_Income ]]),1,0)</f>
        <v>1</v>
      </c>
    </row>
    <row r="20" spans="1:16">
      <c r="A20" t="s">
        <v>45</v>
      </c>
      <c r="B20" t="s">
        <v>18</v>
      </c>
      <c r="C20" t="s">
        <v>19</v>
      </c>
      <c r="D20" s="1">
        <v>0</v>
      </c>
      <c r="E20" t="s">
        <v>20</v>
      </c>
      <c r="F20" t="s">
        <v>21</v>
      </c>
      <c r="G20">
        <v>9226</v>
      </c>
      <c r="H20">
        <v>7916</v>
      </c>
      <c r="I20">
        <v>300</v>
      </c>
      <c r="J20">
        <v>360</v>
      </c>
      <c r="K20">
        <v>1</v>
      </c>
      <c r="L20" t="s">
        <v>22</v>
      </c>
      <c r="M20">
        <f>Table2[[#This Row],[ApplicantIncome]]+Table2[[#This Row],[CoapplicantIncome]]</f>
        <v>17142</v>
      </c>
      <c r="N20">
        <f>Table2[[#This Row],[LoanAmount]]/Table2[[#This Row],[Total_Income ]]</f>
        <v>1.7500875043752188E-2</v>
      </c>
      <c r="O20">
        <f>Table2[[#This Row],[LoanAmount]]/Table2[[#This Row],[Loan_Amount_Term]]</f>
        <v>0.83333333333333337</v>
      </c>
      <c r="P20">
        <f>IF(Table2[[#This Row],[Total_Income ]]&gt;=AVERAGE(Table2[[#This Row],[Total_Income ]]),1,0)</f>
        <v>1</v>
      </c>
    </row>
    <row r="21" spans="1:16">
      <c r="A21" t="s">
        <v>46</v>
      </c>
      <c r="B21" t="s">
        <v>18</v>
      </c>
      <c r="C21" t="s">
        <v>21</v>
      </c>
      <c r="D21" s="1">
        <v>0</v>
      </c>
      <c r="E21" t="s">
        <v>20</v>
      </c>
      <c r="F21" t="s">
        <v>21</v>
      </c>
      <c r="G21">
        <v>1300</v>
      </c>
      <c r="H21">
        <v>3470</v>
      </c>
      <c r="I21">
        <v>100</v>
      </c>
      <c r="J21">
        <v>180</v>
      </c>
      <c r="K21">
        <v>1</v>
      </c>
      <c r="L21" t="s">
        <v>31</v>
      </c>
      <c r="M21">
        <f>Table2[[#This Row],[ApplicantIncome]]+Table2[[#This Row],[CoapplicantIncome]]</f>
        <v>4770</v>
      </c>
      <c r="N21">
        <f>Table2[[#This Row],[LoanAmount]]/Table2[[#This Row],[Total_Income ]]</f>
        <v>2.0964360587002098E-2</v>
      </c>
      <c r="O21">
        <f>Table2[[#This Row],[LoanAmount]]/Table2[[#This Row],[Loan_Amount_Term]]</f>
        <v>0.55555555555555558</v>
      </c>
      <c r="P21">
        <f>IF(Table2[[#This Row],[Total_Income ]]&gt;=AVERAGE(Table2[[#This Row],[Total_Income ]]),1,0)</f>
        <v>1</v>
      </c>
    </row>
    <row r="22" spans="1:16">
      <c r="A22" t="s">
        <v>47</v>
      </c>
      <c r="B22" t="s">
        <v>18</v>
      </c>
      <c r="C22" t="s">
        <v>19</v>
      </c>
      <c r="D22" s="1">
        <v>1</v>
      </c>
      <c r="E22" t="s">
        <v>27</v>
      </c>
      <c r="F22" t="s">
        <v>21</v>
      </c>
      <c r="G22">
        <v>1888</v>
      </c>
      <c r="H22">
        <v>1620</v>
      </c>
      <c r="I22">
        <v>48</v>
      </c>
      <c r="J22">
        <v>360</v>
      </c>
      <c r="K22">
        <v>1</v>
      </c>
      <c r="L22" t="s">
        <v>22</v>
      </c>
      <c r="M22">
        <f>Table2[[#This Row],[ApplicantIncome]]+Table2[[#This Row],[CoapplicantIncome]]</f>
        <v>3508</v>
      </c>
      <c r="N22">
        <f>Table2[[#This Row],[LoanAmount]]/Table2[[#This Row],[Total_Income ]]</f>
        <v>1.3683010262257697E-2</v>
      </c>
      <c r="O22">
        <f>Table2[[#This Row],[LoanAmount]]/Table2[[#This Row],[Loan_Amount_Term]]</f>
        <v>0.13333333333333333</v>
      </c>
      <c r="P22">
        <f>IF(Table2[[#This Row],[Total_Income ]]&gt;=AVERAGE(Table2[[#This Row],[Total_Income ]]),1,0)</f>
        <v>1</v>
      </c>
    </row>
    <row r="23" spans="1:16">
      <c r="A23" t="s">
        <v>48</v>
      </c>
      <c r="B23" t="s">
        <v>30</v>
      </c>
      <c r="C23" t="s">
        <v>21</v>
      </c>
      <c r="D23" s="1" t="s">
        <v>39</v>
      </c>
      <c r="E23" t="s">
        <v>27</v>
      </c>
      <c r="F23" t="s">
        <v>21</v>
      </c>
      <c r="G23">
        <v>2083</v>
      </c>
      <c r="H23">
        <v>0</v>
      </c>
      <c r="I23">
        <v>28</v>
      </c>
      <c r="J23">
        <v>180</v>
      </c>
      <c r="K23">
        <v>1</v>
      </c>
      <c r="L23" t="s">
        <v>22</v>
      </c>
      <c r="M23">
        <f>Table2[[#This Row],[ApplicantIncome]]+Table2[[#This Row],[CoapplicantIncome]]</f>
        <v>2083</v>
      </c>
      <c r="N23">
        <f>Table2[[#This Row],[LoanAmount]]/Table2[[#This Row],[Total_Income ]]</f>
        <v>1.344215074411906E-2</v>
      </c>
      <c r="O23">
        <f>Table2[[#This Row],[LoanAmount]]/Table2[[#This Row],[Loan_Amount_Term]]</f>
        <v>0.15555555555555556</v>
      </c>
      <c r="P23">
        <f>IF(Table2[[#This Row],[Total_Income ]]&gt;=AVERAGE(Table2[[#This Row],[Total_Income ]]),1,0)</f>
        <v>1</v>
      </c>
    </row>
    <row r="24" spans="1:16">
      <c r="A24" t="s">
        <v>49</v>
      </c>
      <c r="B24" t="s">
        <v>30</v>
      </c>
      <c r="C24" t="s">
        <v>21</v>
      </c>
      <c r="D24" s="1">
        <v>0</v>
      </c>
      <c r="E24" t="s">
        <v>20</v>
      </c>
      <c r="F24" t="s">
        <v>21</v>
      </c>
      <c r="G24">
        <v>3909</v>
      </c>
      <c r="H24">
        <v>0</v>
      </c>
      <c r="I24">
        <v>101</v>
      </c>
      <c r="J24">
        <v>360</v>
      </c>
      <c r="K24">
        <v>1</v>
      </c>
      <c r="L24" t="s">
        <v>22</v>
      </c>
      <c r="M24">
        <f>Table2[[#This Row],[ApplicantIncome]]+Table2[[#This Row],[CoapplicantIncome]]</f>
        <v>3909</v>
      </c>
      <c r="N24">
        <f>Table2[[#This Row],[LoanAmount]]/Table2[[#This Row],[Total_Income ]]</f>
        <v>2.5837810181632132E-2</v>
      </c>
      <c r="O24">
        <f>Table2[[#This Row],[LoanAmount]]/Table2[[#This Row],[Loan_Amount_Term]]</f>
        <v>0.28055555555555556</v>
      </c>
      <c r="P24">
        <f>IF(Table2[[#This Row],[Total_Income ]]&gt;=AVERAGE(Table2[[#This Row],[Total_Income ]]),1,0)</f>
        <v>1</v>
      </c>
    </row>
    <row r="25" spans="1:16">
      <c r="A25" t="s">
        <v>50</v>
      </c>
      <c r="B25" t="s">
        <v>18</v>
      </c>
      <c r="C25" t="s">
        <v>21</v>
      </c>
      <c r="D25" s="1">
        <v>0</v>
      </c>
      <c r="E25" t="s">
        <v>27</v>
      </c>
      <c r="F25" t="s">
        <v>21</v>
      </c>
      <c r="G25">
        <v>3765</v>
      </c>
      <c r="H25">
        <v>0</v>
      </c>
      <c r="I25">
        <v>125</v>
      </c>
      <c r="J25">
        <v>360</v>
      </c>
      <c r="K25">
        <v>0</v>
      </c>
      <c r="L25" t="s">
        <v>22</v>
      </c>
      <c r="M25">
        <f>Table2[[#This Row],[ApplicantIncome]]+Table2[[#This Row],[CoapplicantIncome]]</f>
        <v>3765</v>
      </c>
      <c r="N25">
        <f>Table2[[#This Row],[LoanAmount]]/Table2[[#This Row],[Total_Income ]]</f>
        <v>3.3200531208499334E-2</v>
      </c>
      <c r="O25">
        <f>Table2[[#This Row],[LoanAmount]]/Table2[[#This Row],[Loan_Amount_Term]]</f>
        <v>0.34722222222222221</v>
      </c>
      <c r="P25">
        <f>IF(Table2[[#This Row],[Total_Income ]]&gt;=AVERAGE(Table2[[#This Row],[Total_Income ]]),1,0)</f>
        <v>1</v>
      </c>
    </row>
    <row r="26" spans="1:16">
      <c r="A26" t="s">
        <v>51</v>
      </c>
      <c r="B26" t="s">
        <v>18</v>
      </c>
      <c r="C26" t="s">
        <v>19</v>
      </c>
      <c r="D26" s="1">
        <v>0</v>
      </c>
      <c r="E26" t="s">
        <v>20</v>
      </c>
      <c r="F26" t="s">
        <v>21</v>
      </c>
      <c r="G26">
        <v>5400</v>
      </c>
      <c r="H26">
        <v>4380</v>
      </c>
      <c r="I26">
        <v>290</v>
      </c>
      <c r="J26">
        <v>360</v>
      </c>
      <c r="K26">
        <v>1</v>
      </c>
      <c r="L26" t="s">
        <v>22</v>
      </c>
      <c r="M26">
        <f>Table2[[#This Row],[ApplicantIncome]]+Table2[[#This Row],[CoapplicantIncome]]</f>
        <v>9780</v>
      </c>
      <c r="N26">
        <f>Table2[[#This Row],[LoanAmount]]/Table2[[#This Row],[Total_Income ]]</f>
        <v>2.9652351738241309E-2</v>
      </c>
      <c r="O26">
        <f>Table2[[#This Row],[LoanAmount]]/Table2[[#This Row],[Loan_Amount_Term]]</f>
        <v>0.80555555555555558</v>
      </c>
      <c r="P26">
        <f>IF(Table2[[#This Row],[Total_Income ]]&gt;=AVERAGE(Table2[[#This Row],[Total_Income ]]),1,0)</f>
        <v>1</v>
      </c>
    </row>
    <row r="27" spans="1:16">
      <c r="A27" t="s">
        <v>52</v>
      </c>
      <c r="B27" t="s">
        <v>18</v>
      </c>
      <c r="C27" t="s">
        <v>21</v>
      </c>
      <c r="D27" s="1">
        <v>0</v>
      </c>
      <c r="E27" t="s">
        <v>20</v>
      </c>
      <c r="F27" t="s">
        <v>21</v>
      </c>
      <c r="G27">
        <v>0</v>
      </c>
      <c r="H27">
        <v>24000</v>
      </c>
      <c r="I27">
        <v>148</v>
      </c>
      <c r="J27">
        <v>360</v>
      </c>
      <c r="K27">
        <v>1</v>
      </c>
      <c r="L27" t="s">
        <v>33</v>
      </c>
      <c r="M27">
        <f>Table2[[#This Row],[ApplicantIncome]]+Table2[[#This Row],[CoapplicantIncome]]</f>
        <v>24000</v>
      </c>
      <c r="N27">
        <f>Table2[[#This Row],[LoanAmount]]/Table2[[#This Row],[Total_Income ]]</f>
        <v>6.1666666666666667E-3</v>
      </c>
      <c r="O27">
        <f>Table2[[#This Row],[LoanAmount]]/Table2[[#This Row],[Loan_Amount_Term]]</f>
        <v>0.41111111111111109</v>
      </c>
      <c r="P27">
        <f>IF(Table2[[#This Row],[Total_Income ]]&gt;=AVERAGE(Table2[[#This Row],[Total_Income ]]),1,0)</f>
        <v>1</v>
      </c>
    </row>
    <row r="28" spans="1:16">
      <c r="A28" t="s">
        <v>53</v>
      </c>
      <c r="B28" t="s">
        <v>18</v>
      </c>
      <c r="C28" t="s">
        <v>19</v>
      </c>
      <c r="D28" s="1">
        <v>2</v>
      </c>
      <c r="E28" t="s">
        <v>20</v>
      </c>
      <c r="F28" t="s">
        <v>21</v>
      </c>
      <c r="G28">
        <v>4363</v>
      </c>
      <c r="H28">
        <v>1250</v>
      </c>
      <c r="I28">
        <v>140</v>
      </c>
      <c r="J28">
        <v>360</v>
      </c>
      <c r="K28">
        <v>1</v>
      </c>
      <c r="L28" t="s">
        <v>22</v>
      </c>
      <c r="M28">
        <f>Table2[[#This Row],[ApplicantIncome]]+Table2[[#This Row],[CoapplicantIncome]]</f>
        <v>5613</v>
      </c>
      <c r="N28">
        <f>Table2[[#This Row],[LoanAmount]]/Table2[[#This Row],[Total_Income ]]</f>
        <v>2.4942098699447711E-2</v>
      </c>
      <c r="O28">
        <f>Table2[[#This Row],[LoanAmount]]/Table2[[#This Row],[Loan_Amount_Term]]</f>
        <v>0.3888888888888889</v>
      </c>
      <c r="P28">
        <f>IF(Table2[[#This Row],[Total_Income ]]&gt;=AVERAGE(Table2[[#This Row],[Total_Income ]]),1,0)</f>
        <v>1</v>
      </c>
    </row>
    <row r="29" spans="1:16">
      <c r="A29" t="s">
        <v>54</v>
      </c>
      <c r="B29" t="s">
        <v>18</v>
      </c>
      <c r="C29" t="s">
        <v>19</v>
      </c>
      <c r="D29" s="1">
        <v>0</v>
      </c>
      <c r="E29" t="s">
        <v>20</v>
      </c>
      <c r="F29" t="s">
        <v>21</v>
      </c>
      <c r="G29">
        <v>7500</v>
      </c>
      <c r="H29">
        <v>3750</v>
      </c>
      <c r="I29">
        <v>275</v>
      </c>
      <c r="J29">
        <v>360</v>
      </c>
      <c r="K29">
        <v>1</v>
      </c>
      <c r="L29" t="s">
        <v>22</v>
      </c>
      <c r="M29">
        <f>Table2[[#This Row],[ApplicantIncome]]+Table2[[#This Row],[CoapplicantIncome]]</f>
        <v>11250</v>
      </c>
      <c r="N29">
        <f>Table2[[#This Row],[LoanAmount]]/Table2[[#This Row],[Total_Income ]]</f>
        <v>2.4444444444444446E-2</v>
      </c>
      <c r="O29">
        <f>Table2[[#This Row],[LoanAmount]]/Table2[[#This Row],[Loan_Amount_Term]]</f>
        <v>0.76388888888888884</v>
      </c>
      <c r="P29">
        <f>IF(Table2[[#This Row],[Total_Income ]]&gt;=AVERAGE(Table2[[#This Row],[Total_Income ]]),1,0)</f>
        <v>1</v>
      </c>
    </row>
    <row r="30" spans="1:16">
      <c r="A30" t="s">
        <v>55</v>
      </c>
      <c r="B30" t="s">
        <v>18</v>
      </c>
      <c r="C30" t="s">
        <v>19</v>
      </c>
      <c r="D30" s="1">
        <v>0</v>
      </c>
      <c r="E30" t="s">
        <v>20</v>
      </c>
      <c r="F30" t="s">
        <v>21</v>
      </c>
      <c r="G30">
        <v>3772</v>
      </c>
      <c r="H30">
        <v>833</v>
      </c>
      <c r="I30">
        <v>57</v>
      </c>
      <c r="J30">
        <v>360</v>
      </c>
      <c r="K30">
        <v>1</v>
      </c>
      <c r="L30" t="s">
        <v>31</v>
      </c>
      <c r="M30">
        <f>Table2[[#This Row],[ApplicantIncome]]+Table2[[#This Row],[CoapplicantIncome]]</f>
        <v>4605</v>
      </c>
      <c r="N30">
        <f>Table2[[#This Row],[LoanAmount]]/Table2[[#This Row],[Total_Income ]]</f>
        <v>1.2377850162866449E-2</v>
      </c>
      <c r="O30">
        <f>Table2[[#This Row],[LoanAmount]]/Table2[[#This Row],[Loan_Amount_Term]]</f>
        <v>0.15833333333333333</v>
      </c>
      <c r="P30">
        <f>IF(Table2[[#This Row],[Total_Income ]]&gt;=AVERAGE(Table2[[#This Row],[Total_Income ]]),1,0)</f>
        <v>1</v>
      </c>
    </row>
    <row r="31" spans="1:16">
      <c r="A31" t="s">
        <v>56</v>
      </c>
      <c r="B31" t="s">
        <v>30</v>
      </c>
      <c r="C31" t="s">
        <v>21</v>
      </c>
      <c r="D31" s="1">
        <v>0</v>
      </c>
      <c r="E31" t="s">
        <v>20</v>
      </c>
      <c r="F31" t="s">
        <v>21</v>
      </c>
      <c r="G31">
        <v>2942</v>
      </c>
      <c r="H31">
        <v>2382</v>
      </c>
      <c r="I31">
        <v>125</v>
      </c>
      <c r="J31">
        <v>180</v>
      </c>
      <c r="K31">
        <v>1</v>
      </c>
      <c r="L31" t="s">
        <v>22</v>
      </c>
      <c r="M31">
        <f>Table2[[#This Row],[ApplicantIncome]]+Table2[[#This Row],[CoapplicantIncome]]</f>
        <v>5324</v>
      </c>
      <c r="N31">
        <f>Table2[[#This Row],[LoanAmount]]/Table2[[#This Row],[Total_Income ]]</f>
        <v>2.3478587528174305E-2</v>
      </c>
      <c r="O31">
        <f>Table2[[#This Row],[LoanAmount]]/Table2[[#This Row],[Loan_Amount_Term]]</f>
        <v>0.69444444444444442</v>
      </c>
      <c r="P31">
        <f>IF(Table2[[#This Row],[Total_Income ]]&gt;=AVERAGE(Table2[[#This Row],[Total_Income ]]),1,0)</f>
        <v>1</v>
      </c>
    </row>
    <row r="32" spans="1:16">
      <c r="A32" t="s">
        <v>57</v>
      </c>
      <c r="B32" t="s">
        <v>18</v>
      </c>
      <c r="C32" t="s">
        <v>21</v>
      </c>
      <c r="D32" s="1">
        <v>0</v>
      </c>
      <c r="E32" t="s">
        <v>27</v>
      </c>
      <c r="F32" t="s">
        <v>21</v>
      </c>
      <c r="G32">
        <v>2478</v>
      </c>
      <c r="H32">
        <v>0</v>
      </c>
      <c r="I32">
        <v>75</v>
      </c>
      <c r="J32">
        <v>360</v>
      </c>
      <c r="K32">
        <v>1</v>
      </c>
      <c r="L32" t="s">
        <v>31</v>
      </c>
      <c r="M32">
        <f>Table2[[#This Row],[ApplicantIncome]]+Table2[[#This Row],[CoapplicantIncome]]</f>
        <v>2478</v>
      </c>
      <c r="N32">
        <f>Table2[[#This Row],[LoanAmount]]/Table2[[#This Row],[Total_Income ]]</f>
        <v>3.026634382566586E-2</v>
      </c>
      <c r="O32">
        <f>Table2[[#This Row],[LoanAmount]]/Table2[[#This Row],[Loan_Amount_Term]]</f>
        <v>0.20833333333333334</v>
      </c>
      <c r="P32">
        <f>IF(Table2[[#This Row],[Total_Income ]]&gt;=AVERAGE(Table2[[#This Row],[Total_Income ]]),1,0)</f>
        <v>1</v>
      </c>
    </row>
    <row r="33" spans="1:16">
      <c r="A33" t="s">
        <v>58</v>
      </c>
      <c r="B33" t="s">
        <v>18</v>
      </c>
      <c r="C33" t="s">
        <v>19</v>
      </c>
      <c r="D33" s="1">
        <v>2</v>
      </c>
      <c r="E33" t="s">
        <v>20</v>
      </c>
      <c r="F33" t="s">
        <v>21</v>
      </c>
      <c r="G33">
        <v>6250</v>
      </c>
      <c r="H33">
        <v>820</v>
      </c>
      <c r="I33">
        <v>192</v>
      </c>
      <c r="J33">
        <v>360</v>
      </c>
      <c r="K33">
        <v>0</v>
      </c>
      <c r="L33" t="s">
        <v>22</v>
      </c>
      <c r="M33">
        <f>Table2[[#This Row],[ApplicantIncome]]+Table2[[#This Row],[CoapplicantIncome]]</f>
        <v>7070</v>
      </c>
      <c r="N33">
        <f>Table2[[#This Row],[LoanAmount]]/Table2[[#This Row],[Total_Income ]]</f>
        <v>2.7157001414427156E-2</v>
      </c>
      <c r="O33">
        <f>Table2[[#This Row],[LoanAmount]]/Table2[[#This Row],[Loan_Amount_Term]]</f>
        <v>0.53333333333333333</v>
      </c>
      <c r="P33">
        <f>IF(Table2[[#This Row],[Total_Income ]]&gt;=AVERAGE(Table2[[#This Row],[Total_Income ]]),1,0)</f>
        <v>1</v>
      </c>
    </row>
    <row r="34" spans="1:16">
      <c r="A34" t="s">
        <v>59</v>
      </c>
      <c r="B34" t="s">
        <v>18</v>
      </c>
      <c r="C34" t="s">
        <v>21</v>
      </c>
      <c r="D34" s="1">
        <v>0</v>
      </c>
      <c r="E34" t="s">
        <v>20</v>
      </c>
      <c r="F34" t="s">
        <v>21</v>
      </c>
      <c r="G34">
        <v>3268</v>
      </c>
      <c r="H34">
        <v>1683</v>
      </c>
      <c r="I34">
        <v>152</v>
      </c>
      <c r="J34">
        <v>360</v>
      </c>
      <c r="K34">
        <v>1</v>
      </c>
      <c r="L34" t="s">
        <v>31</v>
      </c>
      <c r="M34">
        <f>Table2[[#This Row],[ApplicantIncome]]+Table2[[#This Row],[CoapplicantIncome]]</f>
        <v>4951</v>
      </c>
      <c r="N34">
        <f>Table2[[#This Row],[LoanAmount]]/Table2[[#This Row],[Total_Income ]]</f>
        <v>3.0700868511411836E-2</v>
      </c>
      <c r="O34">
        <f>Table2[[#This Row],[LoanAmount]]/Table2[[#This Row],[Loan_Amount_Term]]</f>
        <v>0.42222222222222222</v>
      </c>
      <c r="P34">
        <f>IF(Table2[[#This Row],[Total_Income ]]&gt;=AVERAGE(Table2[[#This Row],[Total_Income ]]),1,0)</f>
        <v>1</v>
      </c>
    </row>
    <row r="35" spans="1:16">
      <c r="A35" t="s">
        <v>60</v>
      </c>
      <c r="B35" t="s">
        <v>18</v>
      </c>
      <c r="C35" t="s">
        <v>19</v>
      </c>
      <c r="D35" s="1">
        <v>0</v>
      </c>
      <c r="E35" t="s">
        <v>20</v>
      </c>
      <c r="F35" t="s">
        <v>19</v>
      </c>
      <c r="G35">
        <v>2783</v>
      </c>
      <c r="H35">
        <v>2708</v>
      </c>
      <c r="I35">
        <v>158</v>
      </c>
      <c r="J35">
        <v>360</v>
      </c>
      <c r="K35">
        <v>1</v>
      </c>
      <c r="L35" t="s">
        <v>22</v>
      </c>
      <c r="M35">
        <f>Table2[[#This Row],[ApplicantIncome]]+Table2[[#This Row],[CoapplicantIncome]]</f>
        <v>5491</v>
      </c>
      <c r="N35">
        <f>Table2[[#This Row],[LoanAmount]]/Table2[[#This Row],[Total_Income ]]</f>
        <v>2.8774358040429795E-2</v>
      </c>
      <c r="O35">
        <f>Table2[[#This Row],[LoanAmount]]/Table2[[#This Row],[Loan_Amount_Term]]</f>
        <v>0.43888888888888888</v>
      </c>
      <c r="P35">
        <f>IF(Table2[[#This Row],[Total_Income ]]&gt;=AVERAGE(Table2[[#This Row],[Total_Income ]]),1,0)</f>
        <v>1</v>
      </c>
    </row>
    <row r="36" spans="1:16">
      <c r="A36" t="s">
        <v>61</v>
      </c>
      <c r="B36" t="s">
        <v>18</v>
      </c>
      <c r="C36" t="s">
        <v>19</v>
      </c>
      <c r="D36" s="1">
        <v>0</v>
      </c>
      <c r="E36" t="s">
        <v>20</v>
      </c>
      <c r="F36" t="s">
        <v>19</v>
      </c>
      <c r="G36">
        <v>2740</v>
      </c>
      <c r="H36">
        <v>1541</v>
      </c>
      <c r="I36">
        <v>101</v>
      </c>
      <c r="J36">
        <v>360</v>
      </c>
      <c r="K36">
        <v>1</v>
      </c>
      <c r="L36" t="s">
        <v>22</v>
      </c>
      <c r="M36">
        <f>Table2[[#This Row],[ApplicantIncome]]+Table2[[#This Row],[CoapplicantIncome]]</f>
        <v>4281</v>
      </c>
      <c r="N36">
        <f>Table2[[#This Row],[LoanAmount]]/Table2[[#This Row],[Total_Income ]]</f>
        <v>2.3592618547068442E-2</v>
      </c>
      <c r="O36">
        <f>Table2[[#This Row],[LoanAmount]]/Table2[[#This Row],[Loan_Amount_Term]]</f>
        <v>0.28055555555555556</v>
      </c>
      <c r="P36">
        <f>IF(Table2[[#This Row],[Total_Income ]]&gt;=AVERAGE(Table2[[#This Row],[Total_Income ]]),1,0)</f>
        <v>1</v>
      </c>
    </row>
    <row r="37" spans="1:16">
      <c r="A37" t="s">
        <v>62</v>
      </c>
      <c r="B37" t="s">
        <v>18</v>
      </c>
      <c r="C37" t="s">
        <v>21</v>
      </c>
      <c r="D37" s="1">
        <v>0</v>
      </c>
      <c r="E37" t="s">
        <v>20</v>
      </c>
      <c r="F37" t="s">
        <v>21</v>
      </c>
      <c r="G37">
        <v>3150</v>
      </c>
      <c r="H37">
        <v>0</v>
      </c>
      <c r="I37">
        <v>176</v>
      </c>
      <c r="J37">
        <v>360</v>
      </c>
      <c r="K37">
        <v>1</v>
      </c>
      <c r="L37" t="s">
        <v>31</v>
      </c>
      <c r="M37">
        <f>Table2[[#This Row],[ApplicantIncome]]+Table2[[#This Row],[CoapplicantIncome]]</f>
        <v>3150</v>
      </c>
      <c r="N37">
        <f>Table2[[#This Row],[LoanAmount]]/Table2[[#This Row],[Total_Income ]]</f>
        <v>5.5873015873015873E-2</v>
      </c>
      <c r="O37">
        <f>Table2[[#This Row],[LoanAmount]]/Table2[[#This Row],[Loan_Amount_Term]]</f>
        <v>0.48888888888888887</v>
      </c>
      <c r="P37">
        <f>IF(Table2[[#This Row],[Total_Income ]]&gt;=AVERAGE(Table2[[#This Row],[Total_Income ]]),1,0)</f>
        <v>1</v>
      </c>
    </row>
    <row r="38" spans="1:16">
      <c r="A38" t="s">
        <v>63</v>
      </c>
      <c r="B38" t="s">
        <v>18</v>
      </c>
      <c r="C38" t="s">
        <v>19</v>
      </c>
      <c r="D38" s="1">
        <v>2</v>
      </c>
      <c r="E38" t="s">
        <v>20</v>
      </c>
      <c r="F38" t="s">
        <v>21</v>
      </c>
      <c r="G38">
        <v>7350</v>
      </c>
      <c r="H38">
        <v>4029</v>
      </c>
      <c r="I38">
        <v>185</v>
      </c>
      <c r="J38">
        <v>180</v>
      </c>
      <c r="K38">
        <v>1</v>
      </c>
      <c r="L38" t="s">
        <v>22</v>
      </c>
      <c r="M38">
        <f>Table2[[#This Row],[ApplicantIncome]]+Table2[[#This Row],[CoapplicantIncome]]</f>
        <v>11379</v>
      </c>
      <c r="N38">
        <f>Table2[[#This Row],[LoanAmount]]/Table2[[#This Row],[Total_Income ]]</f>
        <v>1.6258019158098252E-2</v>
      </c>
      <c r="O38">
        <f>Table2[[#This Row],[LoanAmount]]/Table2[[#This Row],[Loan_Amount_Term]]</f>
        <v>1.0277777777777777</v>
      </c>
      <c r="P38">
        <f>IF(Table2[[#This Row],[Total_Income ]]&gt;=AVERAGE(Table2[[#This Row],[Total_Income ]]),1,0)</f>
        <v>1</v>
      </c>
    </row>
    <row r="39" spans="1:16">
      <c r="A39" t="s">
        <v>64</v>
      </c>
      <c r="B39" t="s">
        <v>18</v>
      </c>
      <c r="C39" t="s">
        <v>19</v>
      </c>
      <c r="D39" s="1">
        <v>0</v>
      </c>
      <c r="E39" t="s">
        <v>20</v>
      </c>
      <c r="F39" t="s">
        <v>21</v>
      </c>
      <c r="G39">
        <v>2267</v>
      </c>
      <c r="H39">
        <v>2792</v>
      </c>
      <c r="I39">
        <v>90</v>
      </c>
      <c r="J39">
        <v>360</v>
      </c>
      <c r="K39">
        <v>1</v>
      </c>
      <c r="L39" t="s">
        <v>22</v>
      </c>
      <c r="M39">
        <f>Table2[[#This Row],[ApplicantIncome]]+Table2[[#This Row],[CoapplicantIncome]]</f>
        <v>5059</v>
      </c>
      <c r="N39">
        <f>Table2[[#This Row],[LoanAmount]]/Table2[[#This Row],[Total_Income ]]</f>
        <v>1.7790077090334058E-2</v>
      </c>
      <c r="O39">
        <f>Table2[[#This Row],[LoanAmount]]/Table2[[#This Row],[Loan_Amount_Term]]</f>
        <v>0.25</v>
      </c>
      <c r="P39">
        <f>IF(Table2[[#This Row],[Total_Income ]]&gt;=AVERAGE(Table2[[#This Row],[Total_Income ]]),1,0)</f>
        <v>1</v>
      </c>
    </row>
    <row r="40" spans="1:16">
      <c r="A40" t="s">
        <v>65</v>
      </c>
      <c r="B40" t="s">
        <v>18</v>
      </c>
      <c r="C40" t="s">
        <v>21</v>
      </c>
      <c r="D40" s="1">
        <v>0</v>
      </c>
      <c r="E40" t="s">
        <v>20</v>
      </c>
      <c r="F40" t="s">
        <v>21</v>
      </c>
      <c r="G40">
        <v>5833</v>
      </c>
      <c r="H40">
        <v>0</v>
      </c>
      <c r="I40">
        <v>116</v>
      </c>
      <c r="J40">
        <v>360</v>
      </c>
      <c r="K40">
        <v>1</v>
      </c>
      <c r="L40" t="s">
        <v>22</v>
      </c>
      <c r="M40">
        <f>Table2[[#This Row],[ApplicantIncome]]+Table2[[#This Row],[CoapplicantIncome]]</f>
        <v>5833</v>
      </c>
      <c r="N40">
        <f>Table2[[#This Row],[LoanAmount]]/Table2[[#This Row],[Total_Income ]]</f>
        <v>1.9886850677181555E-2</v>
      </c>
      <c r="O40">
        <f>Table2[[#This Row],[LoanAmount]]/Table2[[#This Row],[Loan_Amount_Term]]</f>
        <v>0.32222222222222224</v>
      </c>
      <c r="P40">
        <f>IF(Table2[[#This Row],[Total_Income ]]&gt;=AVERAGE(Table2[[#This Row],[Total_Income ]]),1,0)</f>
        <v>1</v>
      </c>
    </row>
    <row r="41" spans="1:16">
      <c r="A41" t="s">
        <v>66</v>
      </c>
      <c r="B41" t="s">
        <v>18</v>
      </c>
      <c r="C41" t="s">
        <v>21</v>
      </c>
      <c r="D41" s="1">
        <v>0</v>
      </c>
      <c r="E41" t="s">
        <v>20</v>
      </c>
      <c r="F41" t="s">
        <v>21</v>
      </c>
      <c r="G41">
        <v>3643</v>
      </c>
      <c r="H41">
        <v>1963</v>
      </c>
      <c r="I41">
        <v>138</v>
      </c>
      <c r="J41">
        <v>360</v>
      </c>
      <c r="K41">
        <v>1</v>
      </c>
      <c r="L41" t="s">
        <v>22</v>
      </c>
      <c r="M41">
        <f>Table2[[#This Row],[ApplicantIncome]]+Table2[[#This Row],[CoapplicantIncome]]</f>
        <v>5606</v>
      </c>
      <c r="N41">
        <f>Table2[[#This Row],[LoanAmount]]/Table2[[#This Row],[Total_Income ]]</f>
        <v>2.4616482340349626E-2</v>
      </c>
      <c r="O41">
        <f>Table2[[#This Row],[LoanAmount]]/Table2[[#This Row],[Loan_Amount_Term]]</f>
        <v>0.38333333333333336</v>
      </c>
      <c r="P41">
        <f>IF(Table2[[#This Row],[Total_Income ]]&gt;=AVERAGE(Table2[[#This Row],[Total_Income ]]),1,0)</f>
        <v>1</v>
      </c>
    </row>
    <row r="42" spans="1:16">
      <c r="A42" t="s">
        <v>67</v>
      </c>
      <c r="B42" t="s">
        <v>30</v>
      </c>
      <c r="C42" t="s">
        <v>19</v>
      </c>
      <c r="D42" s="1">
        <v>0</v>
      </c>
      <c r="E42" t="s">
        <v>20</v>
      </c>
      <c r="F42" t="s">
        <v>21</v>
      </c>
      <c r="G42">
        <v>5629</v>
      </c>
      <c r="H42">
        <v>818</v>
      </c>
      <c r="I42">
        <v>100</v>
      </c>
      <c r="J42">
        <v>360</v>
      </c>
      <c r="K42">
        <v>1</v>
      </c>
      <c r="L42" t="s">
        <v>22</v>
      </c>
      <c r="M42">
        <f>Table2[[#This Row],[ApplicantIncome]]+Table2[[#This Row],[CoapplicantIncome]]</f>
        <v>6447</v>
      </c>
      <c r="N42">
        <f>Table2[[#This Row],[LoanAmount]]/Table2[[#This Row],[Total_Income ]]</f>
        <v>1.5511090429657206E-2</v>
      </c>
      <c r="O42">
        <f>Table2[[#This Row],[LoanAmount]]/Table2[[#This Row],[Loan_Amount_Term]]</f>
        <v>0.27777777777777779</v>
      </c>
      <c r="P42">
        <f>IF(Table2[[#This Row],[Total_Income ]]&gt;=AVERAGE(Table2[[#This Row],[Total_Income ]]),1,0)</f>
        <v>1</v>
      </c>
    </row>
    <row r="43" spans="1:16">
      <c r="A43" t="s">
        <v>68</v>
      </c>
      <c r="B43" t="s">
        <v>18</v>
      </c>
      <c r="C43" t="s">
        <v>21</v>
      </c>
      <c r="D43" s="1">
        <v>0</v>
      </c>
      <c r="E43" t="s">
        <v>20</v>
      </c>
      <c r="F43" t="s">
        <v>21</v>
      </c>
      <c r="G43">
        <v>3644</v>
      </c>
      <c r="H43">
        <v>0</v>
      </c>
      <c r="I43">
        <v>110</v>
      </c>
      <c r="J43">
        <v>360</v>
      </c>
      <c r="K43">
        <v>1</v>
      </c>
      <c r="L43" t="s">
        <v>22</v>
      </c>
      <c r="M43">
        <f>Table2[[#This Row],[ApplicantIncome]]+Table2[[#This Row],[CoapplicantIncome]]</f>
        <v>3644</v>
      </c>
      <c r="N43">
        <f>Table2[[#This Row],[LoanAmount]]/Table2[[#This Row],[Total_Income ]]</f>
        <v>3.0186608122941824E-2</v>
      </c>
      <c r="O43">
        <f>Table2[[#This Row],[LoanAmount]]/Table2[[#This Row],[Loan_Amount_Term]]</f>
        <v>0.30555555555555558</v>
      </c>
      <c r="P43">
        <f>IF(Table2[[#This Row],[Total_Income ]]&gt;=AVERAGE(Table2[[#This Row],[Total_Income ]]),1,0)</f>
        <v>1</v>
      </c>
    </row>
    <row r="44" spans="1:16">
      <c r="A44" t="s">
        <v>69</v>
      </c>
      <c r="B44" t="s">
        <v>18</v>
      </c>
      <c r="C44" t="s">
        <v>19</v>
      </c>
      <c r="D44" s="1">
        <v>0</v>
      </c>
      <c r="E44" t="s">
        <v>27</v>
      </c>
      <c r="F44" t="s">
        <v>21</v>
      </c>
      <c r="G44">
        <v>1750</v>
      </c>
      <c r="H44">
        <v>2024</v>
      </c>
      <c r="I44">
        <v>90</v>
      </c>
      <c r="J44">
        <v>360</v>
      </c>
      <c r="K44">
        <v>1</v>
      </c>
      <c r="L44" t="s">
        <v>31</v>
      </c>
      <c r="M44">
        <f>Table2[[#This Row],[ApplicantIncome]]+Table2[[#This Row],[CoapplicantIncome]]</f>
        <v>3774</v>
      </c>
      <c r="N44">
        <f>Table2[[#This Row],[LoanAmount]]/Table2[[#This Row],[Total_Income ]]</f>
        <v>2.3847376788553261E-2</v>
      </c>
      <c r="O44">
        <f>Table2[[#This Row],[LoanAmount]]/Table2[[#This Row],[Loan_Amount_Term]]</f>
        <v>0.25</v>
      </c>
      <c r="P44">
        <f>IF(Table2[[#This Row],[Total_Income ]]&gt;=AVERAGE(Table2[[#This Row],[Total_Income ]]),1,0)</f>
        <v>1</v>
      </c>
    </row>
    <row r="45" spans="1:16">
      <c r="A45" t="s">
        <v>70</v>
      </c>
      <c r="B45" t="s">
        <v>30</v>
      </c>
      <c r="C45" t="s">
        <v>21</v>
      </c>
      <c r="D45" s="1">
        <v>0</v>
      </c>
      <c r="E45" t="s">
        <v>20</v>
      </c>
      <c r="F45" t="s">
        <v>21</v>
      </c>
      <c r="G45">
        <v>6500</v>
      </c>
      <c r="H45">
        <v>2600</v>
      </c>
      <c r="I45">
        <v>200</v>
      </c>
      <c r="J45">
        <v>360</v>
      </c>
      <c r="K45">
        <v>1</v>
      </c>
      <c r="L45" t="s">
        <v>31</v>
      </c>
      <c r="M45">
        <f>Table2[[#This Row],[ApplicantIncome]]+Table2[[#This Row],[CoapplicantIncome]]</f>
        <v>9100</v>
      </c>
      <c r="N45">
        <f>Table2[[#This Row],[LoanAmount]]/Table2[[#This Row],[Total_Income ]]</f>
        <v>2.197802197802198E-2</v>
      </c>
      <c r="O45">
        <f>Table2[[#This Row],[LoanAmount]]/Table2[[#This Row],[Loan_Amount_Term]]</f>
        <v>0.55555555555555558</v>
      </c>
      <c r="P45">
        <f>IF(Table2[[#This Row],[Total_Income ]]&gt;=AVERAGE(Table2[[#This Row],[Total_Income ]]),1,0)</f>
        <v>1</v>
      </c>
    </row>
    <row r="46" spans="1:16">
      <c r="A46" t="s">
        <v>71</v>
      </c>
      <c r="B46" t="s">
        <v>18</v>
      </c>
      <c r="C46" t="s">
        <v>21</v>
      </c>
      <c r="D46" s="1">
        <v>0</v>
      </c>
      <c r="E46" t="s">
        <v>20</v>
      </c>
      <c r="F46" t="s">
        <v>21</v>
      </c>
      <c r="G46">
        <v>3666</v>
      </c>
      <c r="H46">
        <v>0</v>
      </c>
      <c r="I46">
        <v>84</v>
      </c>
      <c r="J46">
        <v>360</v>
      </c>
      <c r="K46">
        <v>1</v>
      </c>
      <c r="L46" t="s">
        <v>22</v>
      </c>
      <c r="M46">
        <f>Table2[[#This Row],[ApplicantIncome]]+Table2[[#This Row],[CoapplicantIncome]]</f>
        <v>3666</v>
      </c>
      <c r="N46">
        <f>Table2[[#This Row],[LoanAmount]]/Table2[[#This Row],[Total_Income ]]</f>
        <v>2.2913256955810146E-2</v>
      </c>
      <c r="O46">
        <f>Table2[[#This Row],[LoanAmount]]/Table2[[#This Row],[Loan_Amount_Term]]</f>
        <v>0.23333333333333334</v>
      </c>
      <c r="P46">
        <f>IF(Table2[[#This Row],[Total_Income ]]&gt;=AVERAGE(Table2[[#This Row],[Total_Income ]]),1,0)</f>
        <v>1</v>
      </c>
    </row>
    <row r="47" spans="1:16">
      <c r="A47" t="s">
        <v>72</v>
      </c>
      <c r="B47" t="s">
        <v>18</v>
      </c>
      <c r="C47" t="s">
        <v>19</v>
      </c>
      <c r="D47" s="1">
        <v>0</v>
      </c>
      <c r="E47" t="s">
        <v>20</v>
      </c>
      <c r="F47" t="s">
        <v>19</v>
      </c>
      <c r="G47">
        <v>4260</v>
      </c>
      <c r="H47">
        <v>3900</v>
      </c>
      <c r="I47">
        <v>185</v>
      </c>
      <c r="J47">
        <v>360</v>
      </c>
      <c r="K47">
        <v>1</v>
      </c>
      <c r="L47" t="s">
        <v>22</v>
      </c>
      <c r="M47">
        <f>Table2[[#This Row],[ApplicantIncome]]+Table2[[#This Row],[CoapplicantIncome]]</f>
        <v>8160</v>
      </c>
      <c r="N47">
        <f>Table2[[#This Row],[LoanAmount]]/Table2[[#This Row],[Total_Income ]]</f>
        <v>2.267156862745098E-2</v>
      </c>
      <c r="O47">
        <f>Table2[[#This Row],[LoanAmount]]/Table2[[#This Row],[Loan_Amount_Term]]</f>
        <v>0.51388888888888884</v>
      </c>
      <c r="P47">
        <f>IF(Table2[[#This Row],[Total_Income ]]&gt;=AVERAGE(Table2[[#This Row],[Total_Income ]]),1,0)</f>
        <v>1</v>
      </c>
    </row>
    <row r="48" spans="1:16">
      <c r="A48" t="s">
        <v>73</v>
      </c>
      <c r="B48" t="s">
        <v>18</v>
      </c>
      <c r="C48" t="s">
        <v>19</v>
      </c>
      <c r="D48" s="1">
        <v>0</v>
      </c>
      <c r="E48" t="s">
        <v>27</v>
      </c>
      <c r="F48" t="s">
        <v>21</v>
      </c>
      <c r="G48">
        <v>4163</v>
      </c>
      <c r="H48">
        <v>1475</v>
      </c>
      <c r="I48">
        <v>162</v>
      </c>
      <c r="J48">
        <v>360</v>
      </c>
      <c r="K48">
        <v>1</v>
      </c>
      <c r="L48" t="s">
        <v>22</v>
      </c>
      <c r="M48">
        <f>Table2[[#This Row],[ApplicantIncome]]+Table2[[#This Row],[CoapplicantIncome]]</f>
        <v>5638</v>
      </c>
      <c r="N48">
        <f>Table2[[#This Row],[LoanAmount]]/Table2[[#This Row],[Total_Income ]]</f>
        <v>2.8733593472862716E-2</v>
      </c>
      <c r="O48">
        <f>Table2[[#This Row],[LoanAmount]]/Table2[[#This Row],[Loan_Amount_Term]]</f>
        <v>0.45</v>
      </c>
      <c r="P48">
        <f>IF(Table2[[#This Row],[Total_Income ]]&gt;=AVERAGE(Table2[[#This Row],[Total_Income ]]),1,0)</f>
        <v>1</v>
      </c>
    </row>
    <row r="49" spans="1:16">
      <c r="A49" t="s">
        <v>74</v>
      </c>
      <c r="B49" t="s">
        <v>18</v>
      </c>
      <c r="C49" t="s">
        <v>21</v>
      </c>
      <c r="D49" s="1">
        <v>0</v>
      </c>
      <c r="E49" t="s">
        <v>27</v>
      </c>
      <c r="F49" t="s">
        <v>21</v>
      </c>
      <c r="G49">
        <v>2356</v>
      </c>
      <c r="H49">
        <v>1902</v>
      </c>
      <c r="I49">
        <v>108</v>
      </c>
      <c r="J49">
        <v>360</v>
      </c>
      <c r="K49">
        <v>1</v>
      </c>
      <c r="L49" t="s">
        <v>31</v>
      </c>
      <c r="M49">
        <f>Table2[[#This Row],[ApplicantIncome]]+Table2[[#This Row],[CoapplicantIncome]]</f>
        <v>4258</v>
      </c>
      <c r="N49">
        <f>Table2[[#This Row],[LoanAmount]]/Table2[[#This Row],[Total_Income ]]</f>
        <v>2.5364020666979802E-2</v>
      </c>
      <c r="O49">
        <f>Table2[[#This Row],[LoanAmount]]/Table2[[#This Row],[Loan_Amount_Term]]</f>
        <v>0.3</v>
      </c>
      <c r="P49">
        <f>IF(Table2[[#This Row],[Total_Income ]]&gt;=AVERAGE(Table2[[#This Row],[Total_Income ]]),1,0)</f>
        <v>1</v>
      </c>
    </row>
    <row r="50" spans="1:16">
      <c r="A50" t="s">
        <v>75</v>
      </c>
      <c r="B50" t="s">
        <v>18</v>
      </c>
      <c r="C50" t="s">
        <v>21</v>
      </c>
      <c r="D50" s="1" t="s">
        <v>39</v>
      </c>
      <c r="E50" t="s">
        <v>20</v>
      </c>
      <c r="F50" t="s">
        <v>21</v>
      </c>
      <c r="G50">
        <v>6792</v>
      </c>
      <c r="H50">
        <v>3338</v>
      </c>
      <c r="I50">
        <v>187</v>
      </c>
      <c r="J50">
        <v>360</v>
      </c>
      <c r="K50">
        <v>1</v>
      </c>
      <c r="L50" t="s">
        <v>22</v>
      </c>
      <c r="M50">
        <f>Table2[[#This Row],[ApplicantIncome]]+Table2[[#This Row],[CoapplicantIncome]]</f>
        <v>10130</v>
      </c>
      <c r="N50">
        <f>Table2[[#This Row],[LoanAmount]]/Table2[[#This Row],[Total_Income ]]</f>
        <v>1.8460019743336623E-2</v>
      </c>
      <c r="O50">
        <f>Table2[[#This Row],[LoanAmount]]/Table2[[#This Row],[Loan_Amount_Term]]</f>
        <v>0.51944444444444449</v>
      </c>
      <c r="P50">
        <f>IF(Table2[[#This Row],[Total_Income ]]&gt;=AVERAGE(Table2[[#This Row],[Total_Income ]]),1,0)</f>
        <v>1</v>
      </c>
    </row>
    <row r="51" spans="1:16">
      <c r="A51" t="s">
        <v>76</v>
      </c>
      <c r="B51" t="s">
        <v>18</v>
      </c>
      <c r="C51" t="s">
        <v>19</v>
      </c>
      <c r="D51" s="1">
        <v>1</v>
      </c>
      <c r="E51" t="s">
        <v>27</v>
      </c>
      <c r="F51" t="s">
        <v>21</v>
      </c>
      <c r="G51">
        <v>8000</v>
      </c>
      <c r="H51">
        <v>250</v>
      </c>
      <c r="I51">
        <v>187</v>
      </c>
      <c r="J51">
        <v>360</v>
      </c>
      <c r="K51">
        <v>1</v>
      </c>
      <c r="L51" t="s">
        <v>31</v>
      </c>
      <c r="M51">
        <f>Table2[[#This Row],[ApplicantIncome]]+Table2[[#This Row],[CoapplicantIncome]]</f>
        <v>8250</v>
      </c>
      <c r="N51">
        <f>Table2[[#This Row],[LoanAmount]]/Table2[[#This Row],[Total_Income ]]</f>
        <v>2.2666666666666668E-2</v>
      </c>
      <c r="O51">
        <f>Table2[[#This Row],[LoanAmount]]/Table2[[#This Row],[Loan_Amount_Term]]</f>
        <v>0.51944444444444449</v>
      </c>
      <c r="P51">
        <f>IF(Table2[[#This Row],[Total_Income ]]&gt;=AVERAGE(Table2[[#This Row],[Total_Income ]]),1,0)</f>
        <v>1</v>
      </c>
    </row>
    <row r="52" spans="1:16">
      <c r="A52" t="s">
        <v>77</v>
      </c>
      <c r="B52" t="s">
        <v>18</v>
      </c>
      <c r="C52" t="s">
        <v>19</v>
      </c>
      <c r="D52" s="1" t="s">
        <v>39</v>
      </c>
      <c r="E52" t="s">
        <v>20</v>
      </c>
      <c r="F52" t="s">
        <v>19</v>
      </c>
      <c r="G52">
        <v>2419</v>
      </c>
      <c r="H52">
        <v>1707</v>
      </c>
      <c r="I52">
        <v>124</v>
      </c>
      <c r="J52">
        <v>360</v>
      </c>
      <c r="K52">
        <v>0</v>
      </c>
      <c r="L52" t="s">
        <v>22</v>
      </c>
      <c r="M52">
        <f>Table2[[#This Row],[ApplicantIncome]]+Table2[[#This Row],[CoapplicantIncome]]</f>
        <v>4126</v>
      </c>
      <c r="N52">
        <f>Table2[[#This Row],[LoanAmount]]/Table2[[#This Row],[Total_Income ]]</f>
        <v>3.0053320407174018E-2</v>
      </c>
      <c r="O52">
        <f>Table2[[#This Row],[LoanAmount]]/Table2[[#This Row],[Loan_Amount_Term]]</f>
        <v>0.34444444444444444</v>
      </c>
      <c r="P52">
        <f>IF(Table2[[#This Row],[Total_Income ]]&gt;=AVERAGE(Table2[[#This Row],[Total_Income ]]),1,0)</f>
        <v>1</v>
      </c>
    </row>
    <row r="53" spans="1:16">
      <c r="A53" t="s">
        <v>78</v>
      </c>
      <c r="B53" t="s">
        <v>18</v>
      </c>
      <c r="C53" t="s">
        <v>19</v>
      </c>
      <c r="D53" s="1">
        <v>1</v>
      </c>
      <c r="E53" t="s">
        <v>27</v>
      </c>
      <c r="F53" t="s">
        <v>21</v>
      </c>
      <c r="G53">
        <v>3500</v>
      </c>
      <c r="H53">
        <v>833</v>
      </c>
      <c r="I53">
        <v>120</v>
      </c>
      <c r="J53">
        <v>180</v>
      </c>
      <c r="K53">
        <v>1</v>
      </c>
      <c r="L53" t="s">
        <v>31</v>
      </c>
      <c r="M53">
        <f>Table2[[#This Row],[ApplicantIncome]]+Table2[[#This Row],[CoapplicantIncome]]</f>
        <v>4333</v>
      </c>
      <c r="N53">
        <f>Table2[[#This Row],[LoanAmount]]/Table2[[#This Row],[Total_Income ]]</f>
        <v>2.7694438033694899E-2</v>
      </c>
      <c r="O53">
        <f>Table2[[#This Row],[LoanAmount]]/Table2[[#This Row],[Loan_Amount_Term]]</f>
        <v>0.66666666666666663</v>
      </c>
      <c r="P53">
        <f>IF(Table2[[#This Row],[Total_Income ]]&gt;=AVERAGE(Table2[[#This Row],[Total_Income ]]),1,0)</f>
        <v>1</v>
      </c>
    </row>
    <row r="54" spans="1:16">
      <c r="A54" t="s">
        <v>79</v>
      </c>
      <c r="B54" t="s">
        <v>18</v>
      </c>
      <c r="C54" t="s">
        <v>19</v>
      </c>
      <c r="D54" s="1">
        <v>2</v>
      </c>
      <c r="E54" t="s">
        <v>20</v>
      </c>
      <c r="F54" t="s">
        <v>21</v>
      </c>
      <c r="G54">
        <v>3500</v>
      </c>
      <c r="H54">
        <v>3077</v>
      </c>
      <c r="I54">
        <v>160</v>
      </c>
      <c r="J54">
        <v>360</v>
      </c>
      <c r="K54">
        <v>1</v>
      </c>
      <c r="L54" t="s">
        <v>31</v>
      </c>
      <c r="M54">
        <f>Table2[[#This Row],[ApplicantIncome]]+Table2[[#This Row],[CoapplicantIncome]]</f>
        <v>6577</v>
      </c>
      <c r="N54">
        <f>Table2[[#This Row],[LoanAmount]]/Table2[[#This Row],[Total_Income ]]</f>
        <v>2.4327200851452031E-2</v>
      </c>
      <c r="O54">
        <f>Table2[[#This Row],[LoanAmount]]/Table2[[#This Row],[Loan_Amount_Term]]</f>
        <v>0.44444444444444442</v>
      </c>
      <c r="P54">
        <f>IF(Table2[[#This Row],[Total_Income ]]&gt;=AVERAGE(Table2[[#This Row],[Total_Income ]]),1,0)</f>
        <v>1</v>
      </c>
    </row>
    <row r="55" spans="1:16">
      <c r="A55" t="s">
        <v>80</v>
      </c>
      <c r="B55" t="s">
        <v>18</v>
      </c>
      <c r="C55" t="s">
        <v>19</v>
      </c>
      <c r="D55" s="1">
        <v>0</v>
      </c>
      <c r="E55" t="s">
        <v>20</v>
      </c>
      <c r="F55" t="s">
        <v>21</v>
      </c>
      <c r="G55">
        <v>4116</v>
      </c>
      <c r="H55">
        <v>1000</v>
      </c>
      <c r="I55">
        <v>30</v>
      </c>
      <c r="J55">
        <v>360</v>
      </c>
      <c r="K55">
        <v>0</v>
      </c>
      <c r="L55" t="s">
        <v>22</v>
      </c>
      <c r="M55">
        <f>Table2[[#This Row],[ApplicantIncome]]+Table2[[#This Row],[CoapplicantIncome]]</f>
        <v>5116</v>
      </c>
      <c r="N55">
        <f>Table2[[#This Row],[LoanAmount]]/Table2[[#This Row],[Total_Income ]]</f>
        <v>5.8639562157935888E-3</v>
      </c>
      <c r="O55">
        <f>Table2[[#This Row],[LoanAmount]]/Table2[[#This Row],[Loan_Amount_Term]]</f>
        <v>8.3333333333333329E-2</v>
      </c>
      <c r="P55">
        <f>IF(Table2[[#This Row],[Total_Income ]]&gt;=AVERAGE(Table2[[#This Row],[Total_Income ]]),1,0)</f>
        <v>1</v>
      </c>
    </row>
    <row r="56" spans="1:16">
      <c r="A56" t="s">
        <v>81</v>
      </c>
      <c r="B56" t="s">
        <v>30</v>
      </c>
      <c r="C56" t="s">
        <v>19</v>
      </c>
      <c r="D56" s="1">
        <v>0</v>
      </c>
      <c r="E56" t="s">
        <v>27</v>
      </c>
      <c r="F56" t="s">
        <v>21</v>
      </c>
      <c r="G56">
        <v>5293</v>
      </c>
      <c r="H56">
        <v>0</v>
      </c>
      <c r="I56">
        <v>92</v>
      </c>
      <c r="J56">
        <v>360</v>
      </c>
      <c r="K56">
        <v>1</v>
      </c>
      <c r="L56" t="s">
        <v>22</v>
      </c>
      <c r="M56">
        <f>Table2[[#This Row],[ApplicantIncome]]+Table2[[#This Row],[CoapplicantIncome]]</f>
        <v>5293</v>
      </c>
      <c r="N56">
        <f>Table2[[#This Row],[LoanAmount]]/Table2[[#This Row],[Total_Income ]]</f>
        <v>1.738144719440771E-2</v>
      </c>
      <c r="O56">
        <f>Table2[[#This Row],[LoanAmount]]/Table2[[#This Row],[Loan_Amount_Term]]</f>
        <v>0.25555555555555554</v>
      </c>
      <c r="P56">
        <f>IF(Table2[[#This Row],[Total_Income ]]&gt;=AVERAGE(Table2[[#This Row],[Total_Income ]]),1,0)</f>
        <v>1</v>
      </c>
    </row>
    <row r="57" spans="1:16">
      <c r="A57" t="s">
        <v>82</v>
      </c>
      <c r="B57" t="s">
        <v>18</v>
      </c>
      <c r="C57" t="s">
        <v>21</v>
      </c>
      <c r="D57" s="1">
        <v>0</v>
      </c>
      <c r="E57" t="s">
        <v>20</v>
      </c>
      <c r="F57" t="s">
        <v>21</v>
      </c>
      <c r="G57">
        <v>2750</v>
      </c>
      <c r="H57">
        <v>0</v>
      </c>
      <c r="I57">
        <v>130</v>
      </c>
      <c r="J57">
        <v>180</v>
      </c>
      <c r="K57">
        <v>1</v>
      </c>
      <c r="L57" t="s">
        <v>22</v>
      </c>
      <c r="M57">
        <f>Table2[[#This Row],[ApplicantIncome]]+Table2[[#This Row],[CoapplicantIncome]]</f>
        <v>2750</v>
      </c>
      <c r="N57">
        <f>Table2[[#This Row],[LoanAmount]]/Table2[[#This Row],[Total_Income ]]</f>
        <v>4.7272727272727272E-2</v>
      </c>
      <c r="O57">
        <f>Table2[[#This Row],[LoanAmount]]/Table2[[#This Row],[Loan_Amount_Term]]</f>
        <v>0.72222222222222221</v>
      </c>
      <c r="P57">
        <f>IF(Table2[[#This Row],[Total_Income ]]&gt;=AVERAGE(Table2[[#This Row],[Total_Income ]]),1,0)</f>
        <v>1</v>
      </c>
    </row>
    <row r="58" spans="1:16">
      <c r="A58" t="s">
        <v>83</v>
      </c>
      <c r="B58" t="s">
        <v>30</v>
      </c>
      <c r="C58" t="s">
        <v>21</v>
      </c>
      <c r="D58" s="1">
        <v>2</v>
      </c>
      <c r="E58" t="s">
        <v>27</v>
      </c>
      <c r="F58" t="s">
        <v>21</v>
      </c>
      <c r="G58">
        <v>4402</v>
      </c>
      <c r="H58">
        <v>0</v>
      </c>
      <c r="I58">
        <v>130</v>
      </c>
      <c r="J58">
        <v>360</v>
      </c>
      <c r="K58">
        <v>1</v>
      </c>
      <c r="L58" t="s">
        <v>33</v>
      </c>
      <c r="M58">
        <f>Table2[[#This Row],[ApplicantIncome]]+Table2[[#This Row],[CoapplicantIncome]]</f>
        <v>4402</v>
      </c>
      <c r="N58">
        <f>Table2[[#This Row],[LoanAmount]]/Table2[[#This Row],[Total_Income ]]</f>
        <v>2.9532030895047707E-2</v>
      </c>
      <c r="O58">
        <f>Table2[[#This Row],[LoanAmount]]/Table2[[#This Row],[Loan_Amount_Term]]</f>
        <v>0.3611111111111111</v>
      </c>
      <c r="P58">
        <f>IF(Table2[[#This Row],[Total_Income ]]&gt;=AVERAGE(Table2[[#This Row],[Total_Income ]]),1,0)</f>
        <v>1</v>
      </c>
    </row>
    <row r="59" spans="1:16">
      <c r="A59" t="s">
        <v>84</v>
      </c>
      <c r="B59" t="s">
        <v>18</v>
      </c>
      <c r="C59" t="s">
        <v>19</v>
      </c>
      <c r="D59" s="1">
        <v>2</v>
      </c>
      <c r="E59" t="s">
        <v>20</v>
      </c>
      <c r="F59" t="s">
        <v>19</v>
      </c>
      <c r="G59">
        <v>3613</v>
      </c>
      <c r="H59">
        <v>3539</v>
      </c>
      <c r="I59">
        <v>134</v>
      </c>
      <c r="J59">
        <v>180</v>
      </c>
      <c r="K59">
        <v>1</v>
      </c>
      <c r="L59" t="s">
        <v>31</v>
      </c>
      <c r="M59">
        <f>Table2[[#This Row],[ApplicantIncome]]+Table2[[#This Row],[CoapplicantIncome]]</f>
        <v>7152</v>
      </c>
      <c r="N59">
        <f>Table2[[#This Row],[LoanAmount]]/Table2[[#This Row],[Total_Income ]]</f>
        <v>1.8736017897091721E-2</v>
      </c>
      <c r="O59">
        <f>Table2[[#This Row],[LoanAmount]]/Table2[[#This Row],[Loan_Amount_Term]]</f>
        <v>0.74444444444444446</v>
      </c>
      <c r="P59">
        <f>IF(Table2[[#This Row],[Total_Income ]]&gt;=AVERAGE(Table2[[#This Row],[Total_Income ]]),1,0)</f>
        <v>1</v>
      </c>
    </row>
    <row r="60" spans="1:16">
      <c r="A60" t="s">
        <v>85</v>
      </c>
      <c r="B60" t="s">
        <v>18</v>
      </c>
      <c r="C60" t="s">
        <v>19</v>
      </c>
      <c r="D60" s="1" t="s">
        <v>39</v>
      </c>
      <c r="E60" t="s">
        <v>20</v>
      </c>
      <c r="F60" t="s">
        <v>21</v>
      </c>
      <c r="G60">
        <v>2779</v>
      </c>
      <c r="H60">
        <v>3664</v>
      </c>
      <c r="I60">
        <v>176</v>
      </c>
      <c r="J60">
        <v>360</v>
      </c>
      <c r="K60">
        <v>0</v>
      </c>
      <c r="L60" t="s">
        <v>31</v>
      </c>
      <c r="M60">
        <f>Table2[[#This Row],[ApplicantIncome]]+Table2[[#This Row],[CoapplicantIncome]]</f>
        <v>6443</v>
      </c>
      <c r="N60">
        <f>Table2[[#This Row],[LoanAmount]]/Table2[[#This Row],[Total_Income ]]</f>
        <v>2.7316467484091261E-2</v>
      </c>
      <c r="O60">
        <f>Table2[[#This Row],[LoanAmount]]/Table2[[#This Row],[Loan_Amount_Term]]</f>
        <v>0.48888888888888887</v>
      </c>
      <c r="P60">
        <f>IF(Table2[[#This Row],[Total_Income ]]&gt;=AVERAGE(Table2[[#This Row],[Total_Income ]]),1,0)</f>
        <v>1</v>
      </c>
    </row>
    <row r="61" spans="1:16">
      <c r="A61" t="s">
        <v>86</v>
      </c>
      <c r="B61" t="s">
        <v>18</v>
      </c>
      <c r="C61" t="s">
        <v>19</v>
      </c>
      <c r="D61" s="1">
        <v>0</v>
      </c>
      <c r="E61" t="s">
        <v>20</v>
      </c>
      <c r="F61" t="s">
        <v>21</v>
      </c>
      <c r="G61">
        <v>4720</v>
      </c>
      <c r="H61">
        <v>0</v>
      </c>
      <c r="I61">
        <v>90</v>
      </c>
      <c r="J61">
        <v>360</v>
      </c>
      <c r="K61">
        <v>1</v>
      </c>
      <c r="L61" t="s">
        <v>31</v>
      </c>
      <c r="M61">
        <f>Table2[[#This Row],[ApplicantIncome]]+Table2[[#This Row],[CoapplicantIncome]]</f>
        <v>4720</v>
      </c>
      <c r="N61">
        <f>Table2[[#This Row],[LoanAmount]]/Table2[[#This Row],[Total_Income ]]</f>
        <v>1.9067796610169493E-2</v>
      </c>
      <c r="O61">
        <f>Table2[[#This Row],[LoanAmount]]/Table2[[#This Row],[Loan_Amount_Term]]</f>
        <v>0.25</v>
      </c>
      <c r="P61">
        <f>IF(Table2[[#This Row],[Total_Income ]]&gt;=AVERAGE(Table2[[#This Row],[Total_Income ]]),1,0)</f>
        <v>1</v>
      </c>
    </row>
    <row r="62" spans="1:16">
      <c r="A62" t="s">
        <v>87</v>
      </c>
      <c r="B62" t="s">
        <v>30</v>
      </c>
      <c r="C62" t="s">
        <v>19</v>
      </c>
      <c r="D62" s="1">
        <v>0</v>
      </c>
      <c r="E62" t="s">
        <v>27</v>
      </c>
      <c r="F62" t="s">
        <v>21</v>
      </c>
      <c r="G62">
        <v>2415</v>
      </c>
      <c r="H62">
        <v>1721</v>
      </c>
      <c r="I62">
        <v>110</v>
      </c>
      <c r="J62">
        <v>360</v>
      </c>
      <c r="K62">
        <v>1</v>
      </c>
      <c r="L62" t="s">
        <v>31</v>
      </c>
      <c r="M62">
        <f>Table2[[#This Row],[ApplicantIncome]]+Table2[[#This Row],[CoapplicantIncome]]</f>
        <v>4136</v>
      </c>
      <c r="N62">
        <f>Table2[[#This Row],[LoanAmount]]/Table2[[#This Row],[Total_Income ]]</f>
        <v>2.6595744680851064E-2</v>
      </c>
      <c r="O62">
        <f>Table2[[#This Row],[LoanAmount]]/Table2[[#This Row],[Loan_Amount_Term]]</f>
        <v>0.30555555555555558</v>
      </c>
      <c r="P62">
        <f>IF(Table2[[#This Row],[Total_Income ]]&gt;=AVERAGE(Table2[[#This Row],[Total_Income ]]),1,0)</f>
        <v>1</v>
      </c>
    </row>
    <row r="63" spans="1:16">
      <c r="A63" t="s">
        <v>88</v>
      </c>
      <c r="B63" t="s">
        <v>30</v>
      </c>
      <c r="C63" t="s">
        <v>19</v>
      </c>
      <c r="D63" s="1">
        <v>2</v>
      </c>
      <c r="E63" t="s">
        <v>20</v>
      </c>
      <c r="F63" t="s">
        <v>21</v>
      </c>
      <c r="G63">
        <v>7016</v>
      </c>
      <c r="H63">
        <v>292</v>
      </c>
      <c r="I63">
        <v>125</v>
      </c>
      <c r="J63">
        <v>360</v>
      </c>
      <c r="K63">
        <v>0</v>
      </c>
      <c r="L63" t="s">
        <v>22</v>
      </c>
      <c r="M63">
        <f>Table2[[#This Row],[ApplicantIncome]]+Table2[[#This Row],[CoapplicantIncome]]</f>
        <v>7308</v>
      </c>
      <c r="N63">
        <f>Table2[[#This Row],[LoanAmount]]/Table2[[#This Row],[Total_Income ]]</f>
        <v>1.7104542966611933E-2</v>
      </c>
      <c r="O63">
        <f>Table2[[#This Row],[LoanAmount]]/Table2[[#This Row],[Loan_Amount_Term]]</f>
        <v>0.34722222222222221</v>
      </c>
      <c r="P63">
        <f>IF(Table2[[#This Row],[Total_Income ]]&gt;=AVERAGE(Table2[[#This Row],[Total_Income ]]),1,0)</f>
        <v>1</v>
      </c>
    </row>
    <row r="64" spans="1:16">
      <c r="A64" t="s">
        <v>89</v>
      </c>
      <c r="B64" t="s">
        <v>18</v>
      </c>
      <c r="C64" t="s">
        <v>21</v>
      </c>
      <c r="D64" s="1">
        <v>0</v>
      </c>
      <c r="E64" t="s">
        <v>20</v>
      </c>
      <c r="F64" t="s">
        <v>21</v>
      </c>
      <c r="G64">
        <v>4968</v>
      </c>
      <c r="H64">
        <v>0</v>
      </c>
      <c r="I64">
        <v>189</v>
      </c>
      <c r="J64">
        <v>360</v>
      </c>
      <c r="K64">
        <v>0</v>
      </c>
      <c r="L64" t="s">
        <v>31</v>
      </c>
      <c r="M64">
        <f>Table2[[#This Row],[ApplicantIncome]]+Table2[[#This Row],[CoapplicantIncome]]</f>
        <v>4968</v>
      </c>
      <c r="N64">
        <f>Table2[[#This Row],[LoanAmount]]/Table2[[#This Row],[Total_Income ]]</f>
        <v>3.8043478260869568E-2</v>
      </c>
      <c r="O64">
        <f>Table2[[#This Row],[LoanAmount]]/Table2[[#This Row],[Loan_Amount_Term]]</f>
        <v>0.52500000000000002</v>
      </c>
      <c r="P64">
        <f>IF(Table2[[#This Row],[Total_Income ]]&gt;=AVERAGE(Table2[[#This Row],[Total_Income ]]),1,0)</f>
        <v>1</v>
      </c>
    </row>
    <row r="65" spans="1:16">
      <c r="A65" t="s">
        <v>90</v>
      </c>
      <c r="B65" t="s">
        <v>18</v>
      </c>
      <c r="C65" t="s">
        <v>21</v>
      </c>
      <c r="D65" s="1" t="s">
        <v>39</v>
      </c>
      <c r="E65" t="s">
        <v>20</v>
      </c>
      <c r="F65" t="s">
        <v>21</v>
      </c>
      <c r="G65">
        <v>2101</v>
      </c>
      <c r="H65">
        <v>1500</v>
      </c>
      <c r="I65">
        <v>108</v>
      </c>
      <c r="J65">
        <v>360</v>
      </c>
      <c r="K65">
        <v>1</v>
      </c>
      <c r="L65" t="s">
        <v>33</v>
      </c>
      <c r="M65">
        <f>Table2[[#This Row],[ApplicantIncome]]+Table2[[#This Row],[CoapplicantIncome]]</f>
        <v>3601</v>
      </c>
      <c r="N65">
        <f>Table2[[#This Row],[LoanAmount]]/Table2[[#This Row],[Total_Income ]]</f>
        <v>2.9991668980838656E-2</v>
      </c>
      <c r="O65">
        <f>Table2[[#This Row],[LoanAmount]]/Table2[[#This Row],[Loan_Amount_Term]]</f>
        <v>0.3</v>
      </c>
      <c r="P65">
        <f>IF(Table2[[#This Row],[Total_Income ]]&gt;=AVERAGE(Table2[[#This Row],[Total_Income ]]),1,0)</f>
        <v>1</v>
      </c>
    </row>
    <row r="66" spans="1:16">
      <c r="A66" t="s">
        <v>91</v>
      </c>
      <c r="B66" t="s">
        <v>18</v>
      </c>
      <c r="C66" t="s">
        <v>19</v>
      </c>
      <c r="D66" s="1">
        <v>0</v>
      </c>
      <c r="E66" t="s">
        <v>27</v>
      </c>
      <c r="F66" t="s">
        <v>21</v>
      </c>
      <c r="G66">
        <v>4490</v>
      </c>
      <c r="H66">
        <v>0</v>
      </c>
      <c r="I66">
        <v>125</v>
      </c>
      <c r="J66">
        <v>360</v>
      </c>
      <c r="K66">
        <v>0</v>
      </c>
      <c r="L66" t="s">
        <v>22</v>
      </c>
      <c r="M66">
        <f>Table2[[#This Row],[ApplicantIncome]]+Table2[[#This Row],[CoapplicantIncome]]</f>
        <v>4490</v>
      </c>
      <c r="N66">
        <f>Table2[[#This Row],[LoanAmount]]/Table2[[#This Row],[Total_Income ]]</f>
        <v>2.7839643652561249E-2</v>
      </c>
      <c r="O66">
        <f>Table2[[#This Row],[LoanAmount]]/Table2[[#This Row],[Loan_Amount_Term]]</f>
        <v>0.34722222222222221</v>
      </c>
      <c r="P66">
        <f>IF(Table2[[#This Row],[Total_Income ]]&gt;=AVERAGE(Table2[[#This Row],[Total_Income ]]),1,0)</f>
        <v>1</v>
      </c>
    </row>
    <row r="67" spans="1:16">
      <c r="A67" t="s">
        <v>92</v>
      </c>
      <c r="B67" t="s">
        <v>18</v>
      </c>
      <c r="C67" t="s">
        <v>19</v>
      </c>
      <c r="D67" s="1">
        <v>0</v>
      </c>
      <c r="E67" t="s">
        <v>20</v>
      </c>
      <c r="F67" t="s">
        <v>21</v>
      </c>
      <c r="G67">
        <v>2917</v>
      </c>
      <c r="H67">
        <v>3583</v>
      </c>
      <c r="I67">
        <v>138</v>
      </c>
      <c r="J67">
        <v>360</v>
      </c>
      <c r="K67">
        <v>1</v>
      </c>
      <c r="L67" t="s">
        <v>31</v>
      </c>
      <c r="M67">
        <f>Table2[[#This Row],[ApplicantIncome]]+Table2[[#This Row],[CoapplicantIncome]]</f>
        <v>6500</v>
      </c>
      <c r="N67">
        <f>Table2[[#This Row],[LoanAmount]]/Table2[[#This Row],[Total_Income ]]</f>
        <v>2.123076923076923E-2</v>
      </c>
      <c r="O67">
        <f>Table2[[#This Row],[LoanAmount]]/Table2[[#This Row],[Loan_Amount_Term]]</f>
        <v>0.38333333333333336</v>
      </c>
      <c r="P67">
        <f>IF(Table2[[#This Row],[Total_Income ]]&gt;=AVERAGE(Table2[[#This Row],[Total_Income ]]),1,0)</f>
        <v>1</v>
      </c>
    </row>
    <row r="68" spans="1:16">
      <c r="A68" t="s">
        <v>93</v>
      </c>
      <c r="B68" t="s">
        <v>18</v>
      </c>
      <c r="C68" t="s">
        <v>19</v>
      </c>
      <c r="D68" s="1">
        <v>0</v>
      </c>
      <c r="E68" t="s">
        <v>27</v>
      </c>
      <c r="F68" t="s">
        <v>21</v>
      </c>
      <c r="G68">
        <v>4700</v>
      </c>
      <c r="H68">
        <v>0</v>
      </c>
      <c r="I68">
        <v>135</v>
      </c>
      <c r="J68">
        <v>360</v>
      </c>
      <c r="K68">
        <v>1</v>
      </c>
      <c r="L68" t="s">
        <v>31</v>
      </c>
      <c r="M68">
        <f>Table2[[#This Row],[ApplicantIncome]]+Table2[[#This Row],[CoapplicantIncome]]</f>
        <v>4700</v>
      </c>
      <c r="N68">
        <f>Table2[[#This Row],[LoanAmount]]/Table2[[#This Row],[Total_Income ]]</f>
        <v>2.8723404255319149E-2</v>
      </c>
      <c r="O68">
        <f>Table2[[#This Row],[LoanAmount]]/Table2[[#This Row],[Loan_Amount_Term]]</f>
        <v>0.375</v>
      </c>
      <c r="P68">
        <f>IF(Table2[[#This Row],[Total_Income ]]&gt;=AVERAGE(Table2[[#This Row],[Total_Income ]]),1,0)</f>
        <v>1</v>
      </c>
    </row>
    <row r="69" spans="1:16">
      <c r="A69" t="s">
        <v>94</v>
      </c>
      <c r="B69" t="s">
        <v>18</v>
      </c>
      <c r="C69" t="s">
        <v>19</v>
      </c>
      <c r="D69" s="1">
        <v>0</v>
      </c>
      <c r="E69" t="s">
        <v>20</v>
      </c>
      <c r="F69" t="s">
        <v>21</v>
      </c>
      <c r="G69">
        <v>3445</v>
      </c>
      <c r="H69">
        <v>0</v>
      </c>
      <c r="I69">
        <v>130</v>
      </c>
      <c r="J69">
        <v>360</v>
      </c>
      <c r="K69">
        <v>1</v>
      </c>
      <c r="L69" t="s">
        <v>31</v>
      </c>
      <c r="M69">
        <f>Table2[[#This Row],[ApplicantIncome]]+Table2[[#This Row],[CoapplicantIncome]]</f>
        <v>3445</v>
      </c>
      <c r="N69">
        <f>Table2[[#This Row],[LoanAmount]]/Table2[[#This Row],[Total_Income ]]</f>
        <v>3.7735849056603772E-2</v>
      </c>
      <c r="O69">
        <f>Table2[[#This Row],[LoanAmount]]/Table2[[#This Row],[Loan_Amount_Term]]</f>
        <v>0.3611111111111111</v>
      </c>
      <c r="P69">
        <f>IF(Table2[[#This Row],[Total_Income ]]&gt;=AVERAGE(Table2[[#This Row],[Total_Income ]]),1,0)</f>
        <v>1</v>
      </c>
    </row>
    <row r="70" spans="1:16">
      <c r="A70" t="s">
        <v>95</v>
      </c>
      <c r="B70" t="s">
        <v>30</v>
      </c>
      <c r="C70" t="s">
        <v>19</v>
      </c>
      <c r="D70" s="1">
        <v>0</v>
      </c>
      <c r="E70" t="s">
        <v>20</v>
      </c>
      <c r="F70" t="s">
        <v>19</v>
      </c>
      <c r="G70">
        <v>7666</v>
      </c>
      <c r="H70">
        <v>0</v>
      </c>
      <c r="I70">
        <v>187</v>
      </c>
      <c r="J70">
        <v>360</v>
      </c>
      <c r="K70">
        <v>1</v>
      </c>
      <c r="L70" t="s">
        <v>31</v>
      </c>
      <c r="M70">
        <f>Table2[[#This Row],[ApplicantIncome]]+Table2[[#This Row],[CoapplicantIncome]]</f>
        <v>7666</v>
      </c>
      <c r="N70">
        <f>Table2[[#This Row],[LoanAmount]]/Table2[[#This Row],[Total_Income ]]</f>
        <v>2.4393425515262197E-2</v>
      </c>
      <c r="O70">
        <f>Table2[[#This Row],[LoanAmount]]/Table2[[#This Row],[Loan_Amount_Term]]</f>
        <v>0.51944444444444449</v>
      </c>
      <c r="P70">
        <f>IF(Table2[[#This Row],[Total_Income ]]&gt;=AVERAGE(Table2[[#This Row],[Total_Income ]]),1,0)</f>
        <v>1</v>
      </c>
    </row>
    <row r="71" spans="1:16">
      <c r="A71" t="s">
        <v>96</v>
      </c>
      <c r="B71" t="s">
        <v>18</v>
      </c>
      <c r="C71" t="s">
        <v>19</v>
      </c>
      <c r="D71" s="1">
        <v>0</v>
      </c>
      <c r="E71" t="s">
        <v>20</v>
      </c>
      <c r="F71" t="s">
        <v>21</v>
      </c>
      <c r="G71">
        <v>2458</v>
      </c>
      <c r="H71">
        <v>5105</v>
      </c>
      <c r="I71">
        <v>188</v>
      </c>
      <c r="J71">
        <v>360</v>
      </c>
      <c r="K71">
        <v>1</v>
      </c>
      <c r="L71" t="s">
        <v>33</v>
      </c>
      <c r="M71">
        <f>Table2[[#This Row],[ApplicantIncome]]+Table2[[#This Row],[CoapplicantIncome]]</f>
        <v>7563</v>
      </c>
      <c r="N71">
        <f>Table2[[#This Row],[LoanAmount]]/Table2[[#This Row],[Total_Income ]]</f>
        <v>2.4857860637313236E-2</v>
      </c>
      <c r="O71">
        <f>Table2[[#This Row],[LoanAmount]]/Table2[[#This Row],[Loan_Amount_Term]]</f>
        <v>0.52222222222222225</v>
      </c>
      <c r="P71">
        <f>IF(Table2[[#This Row],[Total_Income ]]&gt;=AVERAGE(Table2[[#This Row],[Total_Income ]]),1,0)</f>
        <v>1</v>
      </c>
    </row>
    <row r="72" spans="1:16">
      <c r="A72" t="s">
        <v>97</v>
      </c>
      <c r="B72" t="s">
        <v>18</v>
      </c>
      <c r="C72" t="s">
        <v>21</v>
      </c>
      <c r="D72" s="1">
        <v>1</v>
      </c>
      <c r="E72" t="s">
        <v>20</v>
      </c>
      <c r="F72" t="s">
        <v>21</v>
      </c>
      <c r="G72">
        <v>3250</v>
      </c>
      <c r="H72">
        <v>0</v>
      </c>
      <c r="I72">
        <v>95</v>
      </c>
      <c r="J72">
        <v>60</v>
      </c>
      <c r="K72">
        <v>1</v>
      </c>
      <c r="L72" t="s">
        <v>31</v>
      </c>
      <c r="M72">
        <f>Table2[[#This Row],[ApplicantIncome]]+Table2[[#This Row],[CoapplicantIncome]]</f>
        <v>3250</v>
      </c>
      <c r="N72">
        <f>Table2[[#This Row],[LoanAmount]]/Table2[[#This Row],[Total_Income ]]</f>
        <v>2.923076923076923E-2</v>
      </c>
      <c r="O72">
        <f>Table2[[#This Row],[LoanAmount]]/Table2[[#This Row],[Loan_Amount_Term]]</f>
        <v>1.5833333333333333</v>
      </c>
      <c r="P72">
        <f>IF(Table2[[#This Row],[Total_Income ]]&gt;=AVERAGE(Table2[[#This Row],[Total_Income ]]),1,0)</f>
        <v>1</v>
      </c>
    </row>
    <row r="73" spans="1:16">
      <c r="A73" t="s">
        <v>98</v>
      </c>
      <c r="B73" t="s">
        <v>18</v>
      </c>
      <c r="C73" t="s">
        <v>21</v>
      </c>
      <c r="D73" s="1">
        <v>0</v>
      </c>
      <c r="E73" t="s">
        <v>20</v>
      </c>
      <c r="F73" t="s">
        <v>21</v>
      </c>
      <c r="G73">
        <v>4463</v>
      </c>
      <c r="H73">
        <v>0</v>
      </c>
      <c r="I73">
        <v>65</v>
      </c>
      <c r="J73">
        <v>360</v>
      </c>
      <c r="K73">
        <v>1</v>
      </c>
      <c r="L73" t="s">
        <v>31</v>
      </c>
      <c r="M73">
        <f>Table2[[#This Row],[ApplicantIncome]]+Table2[[#This Row],[CoapplicantIncome]]</f>
        <v>4463</v>
      </c>
      <c r="N73">
        <f>Table2[[#This Row],[LoanAmount]]/Table2[[#This Row],[Total_Income ]]</f>
        <v>1.4564194488012548E-2</v>
      </c>
      <c r="O73">
        <f>Table2[[#This Row],[LoanAmount]]/Table2[[#This Row],[Loan_Amount_Term]]</f>
        <v>0.18055555555555555</v>
      </c>
      <c r="P73">
        <f>IF(Table2[[#This Row],[Total_Income ]]&gt;=AVERAGE(Table2[[#This Row],[Total_Income ]]),1,0)</f>
        <v>1</v>
      </c>
    </row>
    <row r="74" spans="1:16">
      <c r="A74" t="s">
        <v>99</v>
      </c>
      <c r="B74" t="s">
        <v>18</v>
      </c>
      <c r="C74" t="s">
        <v>19</v>
      </c>
      <c r="D74" s="1">
        <v>0</v>
      </c>
      <c r="E74" t="s">
        <v>20</v>
      </c>
      <c r="F74" t="s">
        <v>19</v>
      </c>
      <c r="G74">
        <v>4083</v>
      </c>
      <c r="H74">
        <v>1775</v>
      </c>
      <c r="I74">
        <v>139</v>
      </c>
      <c r="J74">
        <v>360</v>
      </c>
      <c r="K74">
        <v>1</v>
      </c>
      <c r="L74" t="s">
        <v>22</v>
      </c>
      <c r="M74">
        <f>Table2[[#This Row],[ApplicantIncome]]+Table2[[#This Row],[CoapplicantIncome]]</f>
        <v>5858</v>
      </c>
      <c r="N74">
        <f>Table2[[#This Row],[LoanAmount]]/Table2[[#This Row],[Total_Income ]]</f>
        <v>2.3728234892454764E-2</v>
      </c>
      <c r="O74">
        <f>Table2[[#This Row],[LoanAmount]]/Table2[[#This Row],[Loan_Amount_Term]]</f>
        <v>0.38611111111111113</v>
      </c>
      <c r="P74">
        <f>IF(Table2[[#This Row],[Total_Income ]]&gt;=AVERAGE(Table2[[#This Row],[Total_Income ]]),1,0)</f>
        <v>1</v>
      </c>
    </row>
    <row r="75" spans="1:16">
      <c r="A75" t="s">
        <v>100</v>
      </c>
      <c r="B75" t="s">
        <v>18</v>
      </c>
      <c r="C75" t="s">
        <v>19</v>
      </c>
      <c r="D75" s="1">
        <v>0</v>
      </c>
      <c r="E75" t="s">
        <v>20</v>
      </c>
      <c r="F75" t="s">
        <v>21</v>
      </c>
      <c r="G75">
        <v>3900</v>
      </c>
      <c r="H75">
        <v>2094</v>
      </c>
      <c r="I75">
        <v>232</v>
      </c>
      <c r="J75">
        <v>360</v>
      </c>
      <c r="K75">
        <v>1</v>
      </c>
      <c r="L75" t="s">
        <v>33</v>
      </c>
      <c r="M75">
        <f>Table2[[#This Row],[ApplicantIncome]]+Table2[[#This Row],[CoapplicantIncome]]</f>
        <v>5994</v>
      </c>
      <c r="N75">
        <f>Table2[[#This Row],[LoanAmount]]/Table2[[#This Row],[Total_Income ]]</f>
        <v>3.8705372038705374E-2</v>
      </c>
      <c r="O75">
        <f>Table2[[#This Row],[LoanAmount]]/Table2[[#This Row],[Loan_Amount_Term]]</f>
        <v>0.64444444444444449</v>
      </c>
      <c r="P75">
        <f>IF(Table2[[#This Row],[Total_Income ]]&gt;=AVERAGE(Table2[[#This Row],[Total_Income ]]),1,0)</f>
        <v>1</v>
      </c>
    </row>
    <row r="76" spans="1:16">
      <c r="A76" t="s">
        <v>101</v>
      </c>
      <c r="B76" t="s">
        <v>18</v>
      </c>
      <c r="C76" t="s">
        <v>19</v>
      </c>
      <c r="D76" s="1">
        <v>0</v>
      </c>
      <c r="E76" t="s">
        <v>27</v>
      </c>
      <c r="F76" t="s">
        <v>21</v>
      </c>
      <c r="G76">
        <v>4750</v>
      </c>
      <c r="H76">
        <v>3583</v>
      </c>
      <c r="I76">
        <v>144</v>
      </c>
      <c r="J76">
        <v>360</v>
      </c>
      <c r="K76">
        <v>1</v>
      </c>
      <c r="L76" t="s">
        <v>31</v>
      </c>
      <c r="M76">
        <f>Table2[[#This Row],[ApplicantIncome]]+Table2[[#This Row],[CoapplicantIncome]]</f>
        <v>8333</v>
      </c>
      <c r="N76">
        <f>Table2[[#This Row],[LoanAmount]]/Table2[[#This Row],[Total_Income ]]</f>
        <v>1.7280691227649105E-2</v>
      </c>
      <c r="O76">
        <f>Table2[[#This Row],[LoanAmount]]/Table2[[#This Row],[Loan_Amount_Term]]</f>
        <v>0.4</v>
      </c>
      <c r="P76">
        <f>IF(Table2[[#This Row],[Total_Income ]]&gt;=AVERAGE(Table2[[#This Row],[Total_Income ]]),1,0)</f>
        <v>1</v>
      </c>
    </row>
    <row r="77" spans="1:16">
      <c r="A77" t="s">
        <v>102</v>
      </c>
      <c r="B77" t="s">
        <v>18</v>
      </c>
      <c r="C77" t="s">
        <v>21</v>
      </c>
      <c r="D77" s="1">
        <v>0</v>
      </c>
      <c r="E77" t="s">
        <v>20</v>
      </c>
      <c r="F77" t="s">
        <v>21</v>
      </c>
      <c r="G77">
        <v>3583</v>
      </c>
      <c r="H77">
        <v>3435</v>
      </c>
      <c r="I77">
        <v>155</v>
      </c>
      <c r="J77">
        <v>360</v>
      </c>
      <c r="K77">
        <v>0</v>
      </c>
      <c r="L77" t="s">
        <v>22</v>
      </c>
      <c r="M77">
        <f>Table2[[#This Row],[ApplicantIncome]]+Table2[[#This Row],[CoapplicantIncome]]</f>
        <v>7018</v>
      </c>
      <c r="N77">
        <f>Table2[[#This Row],[LoanAmount]]/Table2[[#This Row],[Total_Income ]]</f>
        <v>2.2086064405813621E-2</v>
      </c>
      <c r="O77">
        <f>Table2[[#This Row],[LoanAmount]]/Table2[[#This Row],[Loan_Amount_Term]]</f>
        <v>0.43055555555555558</v>
      </c>
      <c r="P77">
        <f>IF(Table2[[#This Row],[Total_Income ]]&gt;=AVERAGE(Table2[[#This Row],[Total_Income ]]),1,0)</f>
        <v>1</v>
      </c>
    </row>
    <row r="78" spans="1:16">
      <c r="A78" t="s">
        <v>103</v>
      </c>
      <c r="B78" t="s">
        <v>18</v>
      </c>
      <c r="C78" t="s">
        <v>19</v>
      </c>
      <c r="D78" s="1">
        <v>1</v>
      </c>
      <c r="E78" t="s">
        <v>20</v>
      </c>
      <c r="F78" t="s">
        <v>21</v>
      </c>
      <c r="G78">
        <v>3189</v>
      </c>
      <c r="H78">
        <v>2367</v>
      </c>
      <c r="I78">
        <v>186</v>
      </c>
      <c r="J78">
        <v>360</v>
      </c>
      <c r="K78">
        <v>1</v>
      </c>
      <c r="L78" t="s">
        <v>22</v>
      </c>
      <c r="M78">
        <f>Table2[[#This Row],[ApplicantIncome]]+Table2[[#This Row],[CoapplicantIncome]]</f>
        <v>5556</v>
      </c>
      <c r="N78">
        <f>Table2[[#This Row],[LoanAmount]]/Table2[[#This Row],[Total_Income ]]</f>
        <v>3.3477321814254862E-2</v>
      </c>
      <c r="O78">
        <f>Table2[[#This Row],[LoanAmount]]/Table2[[#This Row],[Loan_Amount_Term]]</f>
        <v>0.51666666666666672</v>
      </c>
      <c r="P78">
        <f>IF(Table2[[#This Row],[Total_Income ]]&gt;=AVERAGE(Table2[[#This Row],[Total_Income ]]),1,0)</f>
        <v>1</v>
      </c>
    </row>
    <row r="79" spans="1:16">
      <c r="A79" t="s">
        <v>104</v>
      </c>
      <c r="B79" t="s">
        <v>30</v>
      </c>
      <c r="C79" t="s">
        <v>21</v>
      </c>
      <c r="D79" s="1">
        <v>0</v>
      </c>
      <c r="E79" t="s">
        <v>20</v>
      </c>
      <c r="F79" t="s">
        <v>21</v>
      </c>
      <c r="G79">
        <v>6356</v>
      </c>
      <c r="H79">
        <v>0</v>
      </c>
      <c r="I79">
        <v>50</v>
      </c>
      <c r="J79">
        <v>360</v>
      </c>
      <c r="K79">
        <v>0</v>
      </c>
      <c r="L79" t="s">
        <v>33</v>
      </c>
      <c r="M79">
        <f>Table2[[#This Row],[ApplicantIncome]]+Table2[[#This Row],[CoapplicantIncome]]</f>
        <v>6356</v>
      </c>
      <c r="N79">
        <f>Table2[[#This Row],[LoanAmount]]/Table2[[#This Row],[Total_Income ]]</f>
        <v>7.866582756450597E-3</v>
      </c>
      <c r="O79">
        <f>Table2[[#This Row],[LoanAmount]]/Table2[[#This Row],[Loan_Amount_Term]]</f>
        <v>0.1388888888888889</v>
      </c>
      <c r="P79">
        <f>IF(Table2[[#This Row],[Total_Income ]]&gt;=AVERAGE(Table2[[#This Row],[Total_Income ]]),1,0)</f>
        <v>1</v>
      </c>
    </row>
    <row r="80" spans="1:16">
      <c r="A80" t="s">
        <v>105</v>
      </c>
      <c r="B80" t="s">
        <v>18</v>
      </c>
      <c r="C80" t="s">
        <v>19</v>
      </c>
      <c r="D80" s="1" t="s">
        <v>39</v>
      </c>
      <c r="E80" t="s">
        <v>20</v>
      </c>
      <c r="F80" t="s">
        <v>21</v>
      </c>
      <c r="G80">
        <v>3413</v>
      </c>
      <c r="H80">
        <v>4053</v>
      </c>
      <c r="I80">
        <v>185</v>
      </c>
      <c r="J80">
        <v>360</v>
      </c>
      <c r="K80">
        <v>1</v>
      </c>
      <c r="L80" t="s">
        <v>31</v>
      </c>
      <c r="M80">
        <f>Table2[[#This Row],[ApplicantIncome]]+Table2[[#This Row],[CoapplicantIncome]]</f>
        <v>7466</v>
      </c>
      <c r="N80">
        <f>Table2[[#This Row],[LoanAmount]]/Table2[[#This Row],[Total_Income ]]</f>
        <v>2.4778998124832575E-2</v>
      </c>
      <c r="O80">
        <f>Table2[[#This Row],[LoanAmount]]/Table2[[#This Row],[Loan_Amount_Term]]</f>
        <v>0.51388888888888884</v>
      </c>
      <c r="P80">
        <f>IF(Table2[[#This Row],[Total_Income ]]&gt;=AVERAGE(Table2[[#This Row],[Total_Income ]]),1,0)</f>
        <v>1</v>
      </c>
    </row>
    <row r="81" spans="1:16">
      <c r="A81" t="s">
        <v>106</v>
      </c>
      <c r="B81" t="s">
        <v>18</v>
      </c>
      <c r="C81" t="s">
        <v>19</v>
      </c>
      <c r="D81" s="1" t="s">
        <v>39</v>
      </c>
      <c r="E81" t="s">
        <v>20</v>
      </c>
      <c r="F81" t="s">
        <v>21</v>
      </c>
      <c r="G81">
        <v>7950</v>
      </c>
      <c r="H81">
        <v>0</v>
      </c>
      <c r="I81">
        <v>163</v>
      </c>
      <c r="J81">
        <v>360</v>
      </c>
      <c r="K81">
        <v>0</v>
      </c>
      <c r="L81" t="s">
        <v>22</v>
      </c>
      <c r="M81">
        <f>Table2[[#This Row],[ApplicantIncome]]+Table2[[#This Row],[CoapplicantIncome]]</f>
        <v>7950</v>
      </c>
      <c r="N81">
        <f>Table2[[#This Row],[LoanAmount]]/Table2[[#This Row],[Total_Income ]]</f>
        <v>2.0503144654088052E-2</v>
      </c>
      <c r="O81">
        <f>Table2[[#This Row],[LoanAmount]]/Table2[[#This Row],[Loan_Amount_Term]]</f>
        <v>0.45277777777777778</v>
      </c>
      <c r="P81">
        <f>IF(Table2[[#This Row],[Total_Income ]]&gt;=AVERAGE(Table2[[#This Row],[Total_Income ]]),1,0)</f>
        <v>1</v>
      </c>
    </row>
    <row r="82" spans="1:16">
      <c r="A82" t="s">
        <v>107</v>
      </c>
      <c r="B82" t="s">
        <v>18</v>
      </c>
      <c r="C82" t="s">
        <v>19</v>
      </c>
      <c r="D82" s="1">
        <v>2</v>
      </c>
      <c r="E82" t="s">
        <v>20</v>
      </c>
      <c r="F82" t="s">
        <v>21</v>
      </c>
      <c r="G82">
        <v>3829</v>
      </c>
      <c r="H82">
        <v>1103</v>
      </c>
      <c r="I82">
        <v>360</v>
      </c>
      <c r="J82">
        <v>480</v>
      </c>
      <c r="K82">
        <v>1</v>
      </c>
      <c r="L82" t="s">
        <v>22</v>
      </c>
      <c r="M82">
        <f>Table2[[#This Row],[ApplicantIncome]]+Table2[[#This Row],[CoapplicantIncome]]</f>
        <v>4932</v>
      </c>
      <c r="N82">
        <f>Table2[[#This Row],[LoanAmount]]/Table2[[#This Row],[Total_Income ]]</f>
        <v>7.2992700729927001E-2</v>
      </c>
      <c r="O82">
        <f>Table2[[#This Row],[LoanAmount]]/Table2[[#This Row],[Loan_Amount_Term]]</f>
        <v>0.75</v>
      </c>
      <c r="P82">
        <f>IF(Table2[[#This Row],[Total_Income ]]&gt;=AVERAGE(Table2[[#This Row],[Total_Income ]]),1,0)</f>
        <v>1</v>
      </c>
    </row>
    <row r="83" spans="1:16">
      <c r="A83" t="s">
        <v>108</v>
      </c>
      <c r="B83" t="s">
        <v>18</v>
      </c>
      <c r="C83" t="s">
        <v>19</v>
      </c>
      <c r="D83" s="1">
        <v>0</v>
      </c>
      <c r="E83" t="s">
        <v>20</v>
      </c>
      <c r="F83" t="s">
        <v>21</v>
      </c>
      <c r="G83">
        <v>72529</v>
      </c>
      <c r="H83">
        <v>0</v>
      </c>
      <c r="I83">
        <v>149</v>
      </c>
      <c r="J83">
        <v>360</v>
      </c>
      <c r="K83">
        <v>1</v>
      </c>
      <c r="L83" t="s">
        <v>22</v>
      </c>
      <c r="M83">
        <f>Table2[[#This Row],[ApplicantIncome]]+Table2[[#This Row],[CoapplicantIncome]]</f>
        <v>72529</v>
      </c>
      <c r="N83">
        <f>Table2[[#This Row],[LoanAmount]]/Table2[[#This Row],[Total_Income ]]</f>
        <v>2.0543506735236938E-3</v>
      </c>
      <c r="O83">
        <f>Table2[[#This Row],[LoanAmount]]/Table2[[#This Row],[Loan_Amount_Term]]</f>
        <v>0.41388888888888886</v>
      </c>
      <c r="P83">
        <f>IF(Table2[[#This Row],[Total_Income ]]&gt;=AVERAGE(Table2[[#This Row],[Total_Income ]]),1,0)</f>
        <v>1</v>
      </c>
    </row>
    <row r="84" spans="1:16">
      <c r="A84" t="s">
        <v>109</v>
      </c>
      <c r="B84" t="s">
        <v>18</v>
      </c>
      <c r="C84" t="s">
        <v>19</v>
      </c>
      <c r="D84" s="1">
        <v>0</v>
      </c>
      <c r="E84" t="s">
        <v>27</v>
      </c>
      <c r="F84" t="s">
        <v>21</v>
      </c>
      <c r="G84">
        <v>4136</v>
      </c>
      <c r="H84">
        <v>0</v>
      </c>
      <c r="I84">
        <v>257</v>
      </c>
      <c r="J84">
        <v>180</v>
      </c>
      <c r="K84">
        <v>1</v>
      </c>
      <c r="L84" t="s">
        <v>33</v>
      </c>
      <c r="M84">
        <f>Table2[[#This Row],[ApplicantIncome]]+Table2[[#This Row],[CoapplicantIncome]]</f>
        <v>4136</v>
      </c>
      <c r="N84">
        <f>Table2[[#This Row],[LoanAmount]]/Table2[[#This Row],[Total_Income ]]</f>
        <v>6.213733075435203E-2</v>
      </c>
      <c r="O84">
        <f>Table2[[#This Row],[LoanAmount]]/Table2[[#This Row],[Loan_Amount_Term]]</f>
        <v>1.4277777777777778</v>
      </c>
      <c r="P84">
        <f>IF(Table2[[#This Row],[Total_Income ]]&gt;=AVERAGE(Table2[[#This Row],[Total_Income ]]),1,0)</f>
        <v>1</v>
      </c>
    </row>
    <row r="85" spans="1:16">
      <c r="A85" t="s">
        <v>110</v>
      </c>
      <c r="B85" t="s">
        <v>18</v>
      </c>
      <c r="C85" t="s">
        <v>19</v>
      </c>
      <c r="D85" s="1">
        <v>2</v>
      </c>
      <c r="E85" t="s">
        <v>20</v>
      </c>
      <c r="F85" t="s">
        <v>21</v>
      </c>
      <c r="G85">
        <v>8449</v>
      </c>
      <c r="H85">
        <v>0</v>
      </c>
      <c r="I85">
        <v>131</v>
      </c>
      <c r="J85">
        <v>180</v>
      </c>
      <c r="K85">
        <v>1</v>
      </c>
      <c r="L85" t="s">
        <v>33</v>
      </c>
      <c r="M85">
        <f>Table2[[#This Row],[ApplicantIncome]]+Table2[[#This Row],[CoapplicantIncome]]</f>
        <v>8449</v>
      </c>
      <c r="N85">
        <f>Table2[[#This Row],[LoanAmount]]/Table2[[#This Row],[Total_Income ]]</f>
        <v>1.5504793466682447E-2</v>
      </c>
      <c r="O85">
        <f>Table2[[#This Row],[LoanAmount]]/Table2[[#This Row],[Loan_Amount_Term]]</f>
        <v>0.72777777777777775</v>
      </c>
      <c r="P85">
        <f>IF(Table2[[#This Row],[Total_Income ]]&gt;=AVERAGE(Table2[[#This Row],[Total_Income ]]),1,0)</f>
        <v>1</v>
      </c>
    </row>
    <row r="86" spans="1:16">
      <c r="A86" t="s">
        <v>111</v>
      </c>
      <c r="B86" t="s">
        <v>18</v>
      </c>
      <c r="C86" t="s">
        <v>19</v>
      </c>
      <c r="D86" s="1">
        <v>0</v>
      </c>
      <c r="E86" t="s">
        <v>20</v>
      </c>
      <c r="F86" t="s">
        <v>19</v>
      </c>
      <c r="G86">
        <v>4456</v>
      </c>
      <c r="H86">
        <v>0</v>
      </c>
      <c r="I86">
        <v>102</v>
      </c>
      <c r="J86">
        <v>360</v>
      </c>
      <c r="K86">
        <v>1</v>
      </c>
      <c r="L86" t="s">
        <v>31</v>
      </c>
      <c r="M86">
        <f>Table2[[#This Row],[ApplicantIncome]]+Table2[[#This Row],[CoapplicantIncome]]</f>
        <v>4456</v>
      </c>
      <c r="N86">
        <f>Table2[[#This Row],[LoanAmount]]/Table2[[#This Row],[Total_Income ]]</f>
        <v>2.289048473967684E-2</v>
      </c>
      <c r="O86">
        <f>Table2[[#This Row],[LoanAmount]]/Table2[[#This Row],[Loan_Amount_Term]]</f>
        <v>0.28333333333333333</v>
      </c>
      <c r="P86">
        <f>IF(Table2[[#This Row],[Total_Income ]]&gt;=AVERAGE(Table2[[#This Row],[Total_Income ]]),1,0)</f>
        <v>1</v>
      </c>
    </row>
    <row r="87" spans="1:16">
      <c r="A87" t="s">
        <v>112</v>
      </c>
      <c r="B87" t="s">
        <v>18</v>
      </c>
      <c r="C87" t="s">
        <v>19</v>
      </c>
      <c r="D87" s="1">
        <v>0</v>
      </c>
      <c r="E87" t="s">
        <v>20</v>
      </c>
      <c r="F87" t="s">
        <v>21</v>
      </c>
      <c r="G87">
        <v>4635</v>
      </c>
      <c r="H87">
        <v>8000</v>
      </c>
      <c r="I87">
        <v>135</v>
      </c>
      <c r="J87">
        <v>360</v>
      </c>
      <c r="K87">
        <v>1</v>
      </c>
      <c r="L87" t="s">
        <v>33</v>
      </c>
      <c r="M87">
        <f>Table2[[#This Row],[ApplicantIncome]]+Table2[[#This Row],[CoapplicantIncome]]</f>
        <v>12635</v>
      </c>
      <c r="N87">
        <f>Table2[[#This Row],[LoanAmount]]/Table2[[#This Row],[Total_Income ]]</f>
        <v>1.0684606252473288E-2</v>
      </c>
      <c r="O87">
        <f>Table2[[#This Row],[LoanAmount]]/Table2[[#This Row],[Loan_Amount_Term]]</f>
        <v>0.375</v>
      </c>
      <c r="P87">
        <f>IF(Table2[[#This Row],[Total_Income ]]&gt;=AVERAGE(Table2[[#This Row],[Total_Income ]]),1,0)</f>
        <v>1</v>
      </c>
    </row>
    <row r="88" spans="1:16">
      <c r="A88" t="s">
        <v>113</v>
      </c>
      <c r="B88" t="s">
        <v>18</v>
      </c>
      <c r="C88" t="s">
        <v>19</v>
      </c>
      <c r="D88" s="1">
        <v>2</v>
      </c>
      <c r="E88" t="s">
        <v>20</v>
      </c>
      <c r="F88" t="s">
        <v>21</v>
      </c>
      <c r="G88">
        <v>3571</v>
      </c>
      <c r="H88">
        <v>1917</v>
      </c>
      <c r="I88">
        <v>95</v>
      </c>
      <c r="J88">
        <v>360</v>
      </c>
      <c r="K88">
        <v>1</v>
      </c>
      <c r="L88" t="s">
        <v>22</v>
      </c>
      <c r="M88">
        <f>Table2[[#This Row],[ApplicantIncome]]+Table2[[#This Row],[CoapplicantIncome]]</f>
        <v>5488</v>
      </c>
      <c r="N88">
        <f>Table2[[#This Row],[LoanAmount]]/Table2[[#This Row],[Total_Income ]]</f>
        <v>1.7310495626822159E-2</v>
      </c>
      <c r="O88">
        <f>Table2[[#This Row],[LoanAmount]]/Table2[[#This Row],[Loan_Amount_Term]]</f>
        <v>0.2638888888888889</v>
      </c>
      <c r="P88">
        <f>IF(Table2[[#This Row],[Total_Income ]]&gt;=AVERAGE(Table2[[#This Row],[Total_Income ]]),1,0)</f>
        <v>1</v>
      </c>
    </row>
    <row r="89" spans="1:16">
      <c r="A89" t="s">
        <v>114</v>
      </c>
      <c r="B89" t="s">
        <v>30</v>
      </c>
      <c r="C89" t="s">
        <v>21</v>
      </c>
      <c r="D89" s="1">
        <v>0</v>
      </c>
      <c r="E89" t="s">
        <v>20</v>
      </c>
      <c r="F89" t="s">
        <v>21</v>
      </c>
      <c r="G89">
        <v>3066</v>
      </c>
      <c r="H89">
        <v>0</v>
      </c>
      <c r="I89">
        <v>77</v>
      </c>
      <c r="J89">
        <v>360</v>
      </c>
      <c r="K89">
        <v>1</v>
      </c>
      <c r="L89" t="s">
        <v>31</v>
      </c>
      <c r="M89">
        <f>Table2[[#This Row],[ApplicantIncome]]+Table2[[#This Row],[CoapplicantIncome]]</f>
        <v>3066</v>
      </c>
      <c r="N89">
        <f>Table2[[#This Row],[LoanAmount]]/Table2[[#This Row],[Total_Income ]]</f>
        <v>2.5114155251141551E-2</v>
      </c>
      <c r="O89">
        <f>Table2[[#This Row],[LoanAmount]]/Table2[[#This Row],[Loan_Amount_Term]]</f>
        <v>0.21388888888888888</v>
      </c>
      <c r="P89">
        <f>IF(Table2[[#This Row],[Total_Income ]]&gt;=AVERAGE(Table2[[#This Row],[Total_Income ]]),1,0)</f>
        <v>1</v>
      </c>
    </row>
    <row r="90" spans="1:16">
      <c r="A90" t="s">
        <v>115</v>
      </c>
      <c r="B90" t="s">
        <v>18</v>
      </c>
      <c r="C90" t="s">
        <v>21</v>
      </c>
      <c r="D90" s="1">
        <v>0</v>
      </c>
      <c r="E90" t="s">
        <v>27</v>
      </c>
      <c r="F90" t="s">
        <v>21</v>
      </c>
      <c r="G90">
        <v>3235</v>
      </c>
      <c r="H90">
        <v>2015</v>
      </c>
      <c r="I90">
        <v>200</v>
      </c>
      <c r="J90">
        <v>360</v>
      </c>
      <c r="K90">
        <v>0</v>
      </c>
      <c r="L90" t="s">
        <v>31</v>
      </c>
      <c r="M90">
        <f>Table2[[#This Row],[ApplicantIncome]]+Table2[[#This Row],[CoapplicantIncome]]</f>
        <v>5250</v>
      </c>
      <c r="N90">
        <f>Table2[[#This Row],[LoanAmount]]/Table2[[#This Row],[Total_Income ]]</f>
        <v>3.8095238095238099E-2</v>
      </c>
      <c r="O90">
        <f>Table2[[#This Row],[LoanAmount]]/Table2[[#This Row],[Loan_Amount_Term]]</f>
        <v>0.55555555555555558</v>
      </c>
      <c r="P90">
        <f>IF(Table2[[#This Row],[Total_Income ]]&gt;=AVERAGE(Table2[[#This Row],[Total_Income ]]),1,0)</f>
        <v>1</v>
      </c>
    </row>
    <row r="91" spans="1:16">
      <c r="A91" t="s">
        <v>116</v>
      </c>
      <c r="B91" t="s">
        <v>18</v>
      </c>
      <c r="C91" t="s">
        <v>21</v>
      </c>
      <c r="D91" s="1" t="s">
        <v>39</v>
      </c>
      <c r="E91" t="s">
        <v>20</v>
      </c>
      <c r="F91" t="s">
        <v>21</v>
      </c>
      <c r="G91">
        <v>5058</v>
      </c>
      <c r="H91">
        <v>0</v>
      </c>
      <c r="I91">
        <v>130</v>
      </c>
      <c r="J91">
        <v>360</v>
      </c>
      <c r="K91">
        <v>1</v>
      </c>
      <c r="L91" t="s">
        <v>33</v>
      </c>
      <c r="M91">
        <f>Table2[[#This Row],[ApplicantIncome]]+Table2[[#This Row],[CoapplicantIncome]]</f>
        <v>5058</v>
      </c>
      <c r="N91">
        <f>Table2[[#This Row],[LoanAmount]]/Table2[[#This Row],[Total_Income ]]</f>
        <v>2.5701858442071967E-2</v>
      </c>
      <c r="O91">
        <f>Table2[[#This Row],[LoanAmount]]/Table2[[#This Row],[Loan_Amount_Term]]</f>
        <v>0.3611111111111111</v>
      </c>
      <c r="P91">
        <f>IF(Table2[[#This Row],[Total_Income ]]&gt;=AVERAGE(Table2[[#This Row],[Total_Income ]]),1,0)</f>
        <v>1</v>
      </c>
    </row>
    <row r="92" spans="1:16">
      <c r="A92" t="s">
        <v>117</v>
      </c>
      <c r="B92" t="s">
        <v>18</v>
      </c>
      <c r="C92" t="s">
        <v>19</v>
      </c>
      <c r="D92" s="1">
        <v>1</v>
      </c>
      <c r="E92" t="s">
        <v>20</v>
      </c>
      <c r="F92" t="s">
        <v>21</v>
      </c>
      <c r="G92">
        <v>3188</v>
      </c>
      <c r="H92">
        <v>2286</v>
      </c>
      <c r="I92">
        <v>390</v>
      </c>
      <c r="J92">
        <v>360</v>
      </c>
      <c r="K92">
        <v>1</v>
      </c>
      <c r="L92" t="s">
        <v>33</v>
      </c>
      <c r="M92">
        <f>Table2[[#This Row],[ApplicantIncome]]+Table2[[#This Row],[CoapplicantIncome]]</f>
        <v>5474</v>
      </c>
      <c r="N92">
        <f>Table2[[#This Row],[LoanAmount]]/Table2[[#This Row],[Total_Income ]]</f>
        <v>7.1245889660211906E-2</v>
      </c>
      <c r="O92">
        <f>Table2[[#This Row],[LoanAmount]]/Table2[[#This Row],[Loan_Amount_Term]]</f>
        <v>1.0833333333333333</v>
      </c>
      <c r="P92">
        <f>IF(Table2[[#This Row],[Total_Income ]]&gt;=AVERAGE(Table2[[#This Row],[Total_Income ]]),1,0)</f>
        <v>1</v>
      </c>
    </row>
    <row r="93" spans="1:16">
      <c r="A93" t="s">
        <v>118</v>
      </c>
      <c r="B93" t="s">
        <v>18</v>
      </c>
      <c r="C93" t="s">
        <v>19</v>
      </c>
      <c r="D93" s="1">
        <v>2</v>
      </c>
      <c r="E93" t="s">
        <v>20</v>
      </c>
      <c r="F93" t="s">
        <v>21</v>
      </c>
      <c r="G93">
        <v>13518</v>
      </c>
      <c r="H93">
        <v>0</v>
      </c>
      <c r="I93">
        <v>185</v>
      </c>
      <c r="J93">
        <v>360</v>
      </c>
      <c r="K93">
        <v>1</v>
      </c>
      <c r="L93" t="s">
        <v>33</v>
      </c>
      <c r="M93">
        <f>Table2[[#This Row],[ApplicantIncome]]+Table2[[#This Row],[CoapplicantIncome]]</f>
        <v>13518</v>
      </c>
      <c r="N93">
        <f>Table2[[#This Row],[LoanAmount]]/Table2[[#This Row],[Total_Income ]]</f>
        <v>1.3685456428465749E-2</v>
      </c>
      <c r="O93">
        <f>Table2[[#This Row],[LoanAmount]]/Table2[[#This Row],[Loan_Amount_Term]]</f>
        <v>0.51388888888888884</v>
      </c>
      <c r="P93">
        <f>IF(Table2[[#This Row],[Total_Income ]]&gt;=AVERAGE(Table2[[#This Row],[Total_Income ]]),1,0)</f>
        <v>1</v>
      </c>
    </row>
    <row r="94" spans="1:16">
      <c r="A94" t="s">
        <v>119</v>
      </c>
      <c r="B94" t="s">
        <v>18</v>
      </c>
      <c r="C94" t="s">
        <v>19</v>
      </c>
      <c r="D94" s="1">
        <v>1</v>
      </c>
      <c r="E94" t="s">
        <v>20</v>
      </c>
      <c r="F94" t="s">
        <v>21</v>
      </c>
      <c r="G94">
        <v>4364</v>
      </c>
      <c r="H94">
        <v>2500</v>
      </c>
      <c r="I94">
        <v>100</v>
      </c>
      <c r="J94">
        <v>360</v>
      </c>
      <c r="K94">
        <v>1</v>
      </c>
      <c r="L94" t="s">
        <v>31</v>
      </c>
      <c r="M94">
        <f>Table2[[#This Row],[ApplicantIncome]]+Table2[[#This Row],[CoapplicantIncome]]</f>
        <v>6864</v>
      </c>
      <c r="N94">
        <f>Table2[[#This Row],[LoanAmount]]/Table2[[#This Row],[Total_Income ]]</f>
        <v>1.4568764568764568E-2</v>
      </c>
      <c r="O94">
        <f>Table2[[#This Row],[LoanAmount]]/Table2[[#This Row],[Loan_Amount_Term]]</f>
        <v>0.27777777777777779</v>
      </c>
      <c r="P94">
        <f>IF(Table2[[#This Row],[Total_Income ]]&gt;=AVERAGE(Table2[[#This Row],[Total_Income ]]),1,0)</f>
        <v>1</v>
      </c>
    </row>
    <row r="95" spans="1:16">
      <c r="A95" t="s">
        <v>120</v>
      </c>
      <c r="B95" t="s">
        <v>30</v>
      </c>
      <c r="C95" t="s">
        <v>19</v>
      </c>
      <c r="D95" s="1" t="s">
        <v>39</v>
      </c>
      <c r="E95" t="s">
        <v>27</v>
      </c>
      <c r="F95" t="s">
        <v>21</v>
      </c>
      <c r="G95">
        <v>4766</v>
      </c>
      <c r="H95">
        <v>1646</v>
      </c>
      <c r="I95">
        <v>123</v>
      </c>
      <c r="J95">
        <v>360</v>
      </c>
      <c r="K95">
        <v>1</v>
      </c>
      <c r="L95" t="s">
        <v>31</v>
      </c>
      <c r="M95">
        <f>Table2[[#This Row],[ApplicantIncome]]+Table2[[#This Row],[CoapplicantIncome]]</f>
        <v>6412</v>
      </c>
      <c r="N95">
        <f>Table2[[#This Row],[LoanAmount]]/Table2[[#This Row],[Total_Income ]]</f>
        <v>1.9182782283218965E-2</v>
      </c>
      <c r="O95">
        <f>Table2[[#This Row],[LoanAmount]]/Table2[[#This Row],[Loan_Amount_Term]]</f>
        <v>0.34166666666666667</v>
      </c>
      <c r="P95">
        <f>IF(Table2[[#This Row],[Total_Income ]]&gt;=AVERAGE(Table2[[#This Row],[Total_Income ]]),1,0)</f>
        <v>1</v>
      </c>
    </row>
    <row r="96" spans="1:16">
      <c r="A96" t="s">
        <v>121</v>
      </c>
      <c r="B96" t="s">
        <v>18</v>
      </c>
      <c r="C96" t="s">
        <v>19</v>
      </c>
      <c r="D96" s="1">
        <v>1</v>
      </c>
      <c r="E96" t="s">
        <v>20</v>
      </c>
      <c r="F96" t="s">
        <v>21</v>
      </c>
      <c r="G96">
        <v>4609</v>
      </c>
      <c r="H96">
        <v>2333</v>
      </c>
      <c r="I96">
        <v>110</v>
      </c>
      <c r="J96">
        <v>360</v>
      </c>
      <c r="K96">
        <v>0</v>
      </c>
      <c r="L96" t="s">
        <v>31</v>
      </c>
      <c r="M96">
        <f>Table2[[#This Row],[ApplicantIncome]]+Table2[[#This Row],[CoapplicantIncome]]</f>
        <v>6942</v>
      </c>
      <c r="N96">
        <f>Table2[[#This Row],[LoanAmount]]/Table2[[#This Row],[Total_Income ]]</f>
        <v>1.5845577643330451E-2</v>
      </c>
      <c r="O96">
        <f>Table2[[#This Row],[LoanAmount]]/Table2[[#This Row],[Loan_Amount_Term]]</f>
        <v>0.30555555555555558</v>
      </c>
      <c r="P96">
        <f>IF(Table2[[#This Row],[Total_Income ]]&gt;=AVERAGE(Table2[[#This Row],[Total_Income ]]),1,0)</f>
        <v>1</v>
      </c>
    </row>
    <row r="97" spans="1:16">
      <c r="A97" t="s">
        <v>122</v>
      </c>
      <c r="B97" t="s">
        <v>18</v>
      </c>
      <c r="C97" t="s">
        <v>19</v>
      </c>
      <c r="D97" s="1">
        <v>0</v>
      </c>
      <c r="E97" t="s">
        <v>20</v>
      </c>
      <c r="F97" t="s">
        <v>21</v>
      </c>
      <c r="G97">
        <v>6260</v>
      </c>
      <c r="H97">
        <v>0</v>
      </c>
      <c r="I97">
        <v>256</v>
      </c>
      <c r="J97">
        <v>360</v>
      </c>
      <c r="K97">
        <v>1</v>
      </c>
      <c r="L97" t="s">
        <v>31</v>
      </c>
      <c r="M97">
        <f>Table2[[#This Row],[ApplicantIncome]]+Table2[[#This Row],[CoapplicantIncome]]</f>
        <v>6260</v>
      </c>
      <c r="N97">
        <f>Table2[[#This Row],[LoanAmount]]/Table2[[#This Row],[Total_Income ]]</f>
        <v>4.0894568690095848E-2</v>
      </c>
      <c r="O97">
        <f>Table2[[#This Row],[LoanAmount]]/Table2[[#This Row],[Loan_Amount_Term]]</f>
        <v>0.71111111111111114</v>
      </c>
      <c r="P97">
        <f>IF(Table2[[#This Row],[Total_Income ]]&gt;=AVERAGE(Table2[[#This Row],[Total_Income ]]),1,0)</f>
        <v>1</v>
      </c>
    </row>
    <row r="98" spans="1:16">
      <c r="A98" t="s">
        <v>123</v>
      </c>
      <c r="B98" t="s">
        <v>18</v>
      </c>
      <c r="C98" t="s">
        <v>19</v>
      </c>
      <c r="D98" s="1" t="s">
        <v>39</v>
      </c>
      <c r="E98" t="s">
        <v>20</v>
      </c>
      <c r="F98" t="s">
        <v>21</v>
      </c>
      <c r="G98">
        <v>3333</v>
      </c>
      <c r="H98">
        <v>4200</v>
      </c>
      <c r="I98">
        <v>140</v>
      </c>
      <c r="J98">
        <v>360</v>
      </c>
      <c r="K98">
        <v>1</v>
      </c>
      <c r="L98" t="s">
        <v>22</v>
      </c>
      <c r="M98">
        <f>Table2[[#This Row],[ApplicantIncome]]+Table2[[#This Row],[CoapplicantIncome]]</f>
        <v>7533</v>
      </c>
      <c r="N98">
        <f>Table2[[#This Row],[LoanAmount]]/Table2[[#This Row],[Total_Income ]]</f>
        <v>1.8584893136864462E-2</v>
      </c>
      <c r="O98">
        <f>Table2[[#This Row],[LoanAmount]]/Table2[[#This Row],[Loan_Amount_Term]]</f>
        <v>0.3888888888888889</v>
      </c>
      <c r="P98">
        <f>IF(Table2[[#This Row],[Total_Income ]]&gt;=AVERAGE(Table2[[#This Row],[Total_Income ]]),1,0)</f>
        <v>1</v>
      </c>
    </row>
    <row r="99" spans="1:16">
      <c r="A99" t="s">
        <v>124</v>
      </c>
      <c r="B99" t="s">
        <v>18</v>
      </c>
      <c r="C99" t="s">
        <v>19</v>
      </c>
      <c r="D99" s="1" t="s">
        <v>39</v>
      </c>
      <c r="E99" t="s">
        <v>20</v>
      </c>
      <c r="F99" t="s">
        <v>21</v>
      </c>
      <c r="G99">
        <v>3500</v>
      </c>
      <c r="H99">
        <v>3250</v>
      </c>
      <c r="I99">
        <v>61</v>
      </c>
      <c r="J99">
        <v>360</v>
      </c>
      <c r="K99">
        <v>1</v>
      </c>
      <c r="L99" t="s">
        <v>31</v>
      </c>
      <c r="M99">
        <f>Table2[[#This Row],[ApplicantIncome]]+Table2[[#This Row],[CoapplicantIncome]]</f>
        <v>6750</v>
      </c>
      <c r="N99">
        <f>Table2[[#This Row],[LoanAmount]]/Table2[[#This Row],[Total_Income ]]</f>
        <v>9.0370370370370379E-3</v>
      </c>
      <c r="O99">
        <f>Table2[[#This Row],[LoanAmount]]/Table2[[#This Row],[Loan_Amount_Term]]</f>
        <v>0.16944444444444445</v>
      </c>
      <c r="P99">
        <f>IF(Table2[[#This Row],[Total_Income ]]&gt;=AVERAGE(Table2[[#This Row],[Total_Income ]]),1,0)</f>
        <v>1</v>
      </c>
    </row>
    <row r="100" spans="1:16">
      <c r="A100" t="s">
        <v>125</v>
      </c>
      <c r="B100" t="s">
        <v>18</v>
      </c>
      <c r="C100" t="s">
        <v>19</v>
      </c>
      <c r="D100" s="1">
        <v>0</v>
      </c>
      <c r="E100" t="s">
        <v>20</v>
      </c>
      <c r="F100" t="s">
        <v>21</v>
      </c>
      <c r="G100">
        <v>9719</v>
      </c>
      <c r="H100">
        <v>0</v>
      </c>
      <c r="I100">
        <v>188</v>
      </c>
      <c r="J100">
        <v>360</v>
      </c>
      <c r="K100">
        <v>0</v>
      </c>
      <c r="L100" t="s">
        <v>22</v>
      </c>
      <c r="M100">
        <f>Table2[[#This Row],[ApplicantIncome]]+Table2[[#This Row],[CoapplicantIncome]]</f>
        <v>9719</v>
      </c>
      <c r="N100">
        <f>Table2[[#This Row],[LoanAmount]]/Table2[[#This Row],[Total_Income ]]</f>
        <v>1.9343553863566211E-2</v>
      </c>
      <c r="O100">
        <f>Table2[[#This Row],[LoanAmount]]/Table2[[#This Row],[Loan_Amount_Term]]</f>
        <v>0.52222222222222225</v>
      </c>
      <c r="P100">
        <f>IF(Table2[[#This Row],[Total_Income ]]&gt;=AVERAGE(Table2[[#This Row],[Total_Income ]]),1,0)</f>
        <v>1</v>
      </c>
    </row>
    <row r="101" spans="1:16">
      <c r="A101" t="s">
        <v>126</v>
      </c>
      <c r="B101" t="s">
        <v>30</v>
      </c>
      <c r="C101" t="s">
        <v>19</v>
      </c>
      <c r="D101" s="1">
        <v>0</v>
      </c>
      <c r="E101" t="s">
        <v>20</v>
      </c>
      <c r="F101" t="s">
        <v>21</v>
      </c>
      <c r="G101">
        <v>6835</v>
      </c>
      <c r="H101">
        <v>0</v>
      </c>
      <c r="I101">
        <v>131</v>
      </c>
      <c r="J101">
        <v>480</v>
      </c>
      <c r="K101">
        <v>1</v>
      </c>
      <c r="L101" t="s">
        <v>31</v>
      </c>
      <c r="M101">
        <f>Table2[[#This Row],[ApplicantIncome]]+Table2[[#This Row],[CoapplicantIncome]]</f>
        <v>6835</v>
      </c>
      <c r="N101">
        <f>Table2[[#This Row],[LoanAmount]]/Table2[[#This Row],[Total_Income ]]</f>
        <v>1.9166057059253842E-2</v>
      </c>
      <c r="O101">
        <f>Table2[[#This Row],[LoanAmount]]/Table2[[#This Row],[Loan_Amount_Term]]</f>
        <v>0.27291666666666664</v>
      </c>
      <c r="P101">
        <f>IF(Table2[[#This Row],[Total_Income ]]&gt;=AVERAGE(Table2[[#This Row],[Total_Income ]]),1,0)</f>
        <v>1</v>
      </c>
    </row>
    <row r="102" spans="1:16">
      <c r="A102" t="s">
        <v>127</v>
      </c>
      <c r="B102" t="s">
        <v>18</v>
      </c>
      <c r="C102" t="s">
        <v>21</v>
      </c>
      <c r="D102" s="1">
        <v>1</v>
      </c>
      <c r="E102" t="s">
        <v>20</v>
      </c>
      <c r="F102" t="s">
        <v>21</v>
      </c>
      <c r="G102">
        <v>4452</v>
      </c>
      <c r="H102">
        <v>0</v>
      </c>
      <c r="I102">
        <v>116</v>
      </c>
      <c r="J102">
        <v>360</v>
      </c>
      <c r="K102">
        <v>1</v>
      </c>
      <c r="L102" t="s">
        <v>33</v>
      </c>
      <c r="M102">
        <f>Table2[[#This Row],[ApplicantIncome]]+Table2[[#This Row],[CoapplicantIncome]]</f>
        <v>4452</v>
      </c>
      <c r="N102">
        <f>Table2[[#This Row],[LoanAmount]]/Table2[[#This Row],[Total_Income ]]</f>
        <v>2.605570530098832E-2</v>
      </c>
      <c r="O102">
        <f>Table2[[#This Row],[LoanAmount]]/Table2[[#This Row],[Loan_Amount_Term]]</f>
        <v>0.32222222222222224</v>
      </c>
      <c r="P102">
        <f>IF(Table2[[#This Row],[Total_Income ]]&gt;=AVERAGE(Table2[[#This Row],[Total_Income ]]),1,0)</f>
        <v>1</v>
      </c>
    </row>
    <row r="103" spans="1:16">
      <c r="A103" t="s">
        <v>128</v>
      </c>
      <c r="B103" t="s">
        <v>18</v>
      </c>
      <c r="C103" t="s">
        <v>19</v>
      </c>
      <c r="D103" s="1">
        <v>2</v>
      </c>
      <c r="E103" t="s">
        <v>20</v>
      </c>
      <c r="F103" t="s">
        <v>21</v>
      </c>
      <c r="G103">
        <v>2262</v>
      </c>
      <c r="H103">
        <v>0</v>
      </c>
      <c r="I103">
        <v>50</v>
      </c>
      <c r="J103">
        <v>180</v>
      </c>
      <c r="K103">
        <v>1</v>
      </c>
      <c r="L103" t="s">
        <v>31</v>
      </c>
      <c r="M103">
        <f>Table2[[#This Row],[ApplicantIncome]]+Table2[[#This Row],[CoapplicantIncome]]</f>
        <v>2262</v>
      </c>
      <c r="N103">
        <f>Table2[[#This Row],[LoanAmount]]/Table2[[#This Row],[Total_Income ]]</f>
        <v>2.2104332449160036E-2</v>
      </c>
      <c r="O103">
        <f>Table2[[#This Row],[LoanAmount]]/Table2[[#This Row],[Loan_Amount_Term]]</f>
        <v>0.27777777777777779</v>
      </c>
      <c r="P103">
        <f>IF(Table2[[#This Row],[Total_Income ]]&gt;=AVERAGE(Table2[[#This Row],[Total_Income ]]),1,0)</f>
        <v>1</v>
      </c>
    </row>
    <row r="104" spans="1:16">
      <c r="A104" t="s">
        <v>129</v>
      </c>
      <c r="B104" t="s">
        <v>18</v>
      </c>
      <c r="C104" t="s">
        <v>19</v>
      </c>
      <c r="D104" s="1">
        <v>0</v>
      </c>
      <c r="E104" t="s">
        <v>20</v>
      </c>
      <c r="F104" t="s">
        <v>21</v>
      </c>
      <c r="G104">
        <v>3901</v>
      </c>
      <c r="H104">
        <v>0</v>
      </c>
      <c r="I104">
        <v>107</v>
      </c>
      <c r="J104">
        <v>360</v>
      </c>
      <c r="K104">
        <v>1</v>
      </c>
      <c r="L104" t="s">
        <v>22</v>
      </c>
      <c r="M104">
        <f>Table2[[#This Row],[ApplicantIncome]]+Table2[[#This Row],[CoapplicantIncome]]</f>
        <v>3901</v>
      </c>
      <c r="N104">
        <f>Table2[[#This Row],[LoanAmount]]/Table2[[#This Row],[Total_Income ]]</f>
        <v>2.7428864393745193E-2</v>
      </c>
      <c r="O104">
        <f>Table2[[#This Row],[LoanAmount]]/Table2[[#This Row],[Loan_Amount_Term]]</f>
        <v>0.29722222222222222</v>
      </c>
      <c r="P104">
        <f>IF(Table2[[#This Row],[Total_Income ]]&gt;=AVERAGE(Table2[[#This Row],[Total_Income ]]),1,0)</f>
        <v>1</v>
      </c>
    </row>
    <row r="105" spans="1:16">
      <c r="A105" t="s">
        <v>130</v>
      </c>
      <c r="B105" t="s">
        <v>30</v>
      </c>
      <c r="C105" t="s">
        <v>19</v>
      </c>
      <c r="D105" s="1">
        <v>0</v>
      </c>
      <c r="E105" t="s">
        <v>27</v>
      </c>
      <c r="F105" t="s">
        <v>21</v>
      </c>
      <c r="G105">
        <v>2687</v>
      </c>
      <c r="H105">
        <v>0</v>
      </c>
      <c r="I105">
        <v>200</v>
      </c>
      <c r="J105">
        <v>360</v>
      </c>
      <c r="K105">
        <v>1</v>
      </c>
      <c r="L105" t="s">
        <v>33</v>
      </c>
      <c r="M105">
        <f>Table2[[#This Row],[ApplicantIncome]]+Table2[[#This Row],[CoapplicantIncome]]</f>
        <v>2687</v>
      </c>
      <c r="N105">
        <f>Table2[[#This Row],[LoanAmount]]/Table2[[#This Row],[Total_Income ]]</f>
        <v>7.4432452549311495E-2</v>
      </c>
      <c r="O105">
        <f>Table2[[#This Row],[LoanAmount]]/Table2[[#This Row],[Loan_Amount_Term]]</f>
        <v>0.55555555555555558</v>
      </c>
      <c r="P105">
        <f>IF(Table2[[#This Row],[Total_Income ]]&gt;=AVERAGE(Table2[[#This Row],[Total_Income ]]),1,0)</f>
        <v>1</v>
      </c>
    </row>
    <row r="106" spans="1:16">
      <c r="A106" t="s">
        <v>131</v>
      </c>
      <c r="B106" t="s">
        <v>18</v>
      </c>
      <c r="C106" t="s">
        <v>21</v>
      </c>
      <c r="D106" s="1">
        <v>0</v>
      </c>
      <c r="E106" t="s">
        <v>20</v>
      </c>
      <c r="F106" t="s">
        <v>19</v>
      </c>
      <c r="G106">
        <v>2243</v>
      </c>
      <c r="H106">
        <v>2233</v>
      </c>
      <c r="I106">
        <v>119</v>
      </c>
      <c r="J106">
        <v>360</v>
      </c>
      <c r="K106">
        <v>1</v>
      </c>
      <c r="L106" t="s">
        <v>31</v>
      </c>
      <c r="M106">
        <f>Table2[[#This Row],[ApplicantIncome]]+Table2[[#This Row],[CoapplicantIncome]]</f>
        <v>4476</v>
      </c>
      <c r="N106">
        <f>Table2[[#This Row],[LoanAmount]]/Table2[[#This Row],[Total_Income ]]</f>
        <v>2.6586237712243076E-2</v>
      </c>
      <c r="O106">
        <f>Table2[[#This Row],[LoanAmount]]/Table2[[#This Row],[Loan_Amount_Term]]</f>
        <v>0.33055555555555555</v>
      </c>
      <c r="P106">
        <f>IF(Table2[[#This Row],[Total_Income ]]&gt;=AVERAGE(Table2[[#This Row],[Total_Income ]]),1,0)</f>
        <v>1</v>
      </c>
    </row>
    <row r="107" spans="1:16">
      <c r="A107" t="s">
        <v>132</v>
      </c>
      <c r="B107" t="s">
        <v>18</v>
      </c>
      <c r="C107" t="s">
        <v>19</v>
      </c>
      <c r="D107" s="1" t="s">
        <v>39</v>
      </c>
      <c r="E107" t="s">
        <v>20</v>
      </c>
      <c r="F107" t="s">
        <v>21</v>
      </c>
      <c r="G107">
        <v>3417</v>
      </c>
      <c r="H107">
        <v>1287</v>
      </c>
      <c r="I107">
        <v>120</v>
      </c>
      <c r="J107">
        <v>360</v>
      </c>
      <c r="K107">
        <v>1</v>
      </c>
      <c r="L107" t="s">
        <v>31</v>
      </c>
      <c r="M107">
        <f>Table2[[#This Row],[ApplicantIncome]]+Table2[[#This Row],[CoapplicantIncome]]</f>
        <v>4704</v>
      </c>
      <c r="N107">
        <f>Table2[[#This Row],[LoanAmount]]/Table2[[#This Row],[Total_Income ]]</f>
        <v>2.5510204081632654E-2</v>
      </c>
      <c r="O107">
        <f>Table2[[#This Row],[LoanAmount]]/Table2[[#This Row],[Loan_Amount_Term]]</f>
        <v>0.33333333333333331</v>
      </c>
      <c r="P107">
        <f>IF(Table2[[#This Row],[Total_Income ]]&gt;=AVERAGE(Table2[[#This Row],[Total_Income ]]),1,0)</f>
        <v>1</v>
      </c>
    </row>
    <row r="108" spans="1:16">
      <c r="A108" t="s">
        <v>133</v>
      </c>
      <c r="B108" t="s">
        <v>18</v>
      </c>
      <c r="C108" t="s">
        <v>21</v>
      </c>
      <c r="D108" s="1">
        <v>0</v>
      </c>
      <c r="E108" t="s">
        <v>20</v>
      </c>
      <c r="F108" t="s">
        <v>21</v>
      </c>
      <c r="G108">
        <v>1596</v>
      </c>
      <c r="H108">
        <v>1760</v>
      </c>
      <c r="I108">
        <v>140</v>
      </c>
      <c r="J108">
        <v>360</v>
      </c>
      <c r="K108">
        <v>1</v>
      </c>
      <c r="L108" t="s">
        <v>22</v>
      </c>
      <c r="M108">
        <f>Table2[[#This Row],[ApplicantIncome]]+Table2[[#This Row],[CoapplicantIncome]]</f>
        <v>3356</v>
      </c>
      <c r="N108">
        <f>Table2[[#This Row],[LoanAmount]]/Table2[[#This Row],[Total_Income ]]</f>
        <v>4.1716328963051254E-2</v>
      </c>
      <c r="O108">
        <f>Table2[[#This Row],[LoanAmount]]/Table2[[#This Row],[Loan_Amount_Term]]</f>
        <v>0.3888888888888889</v>
      </c>
      <c r="P108">
        <f>IF(Table2[[#This Row],[Total_Income ]]&gt;=AVERAGE(Table2[[#This Row],[Total_Income ]]),1,0)</f>
        <v>1</v>
      </c>
    </row>
    <row r="109" spans="1:16">
      <c r="A109" t="s">
        <v>134</v>
      </c>
      <c r="B109" t="s">
        <v>30</v>
      </c>
      <c r="C109" t="s">
        <v>19</v>
      </c>
      <c r="D109" s="1">
        <v>0</v>
      </c>
      <c r="E109" t="s">
        <v>20</v>
      </c>
      <c r="F109" t="s">
        <v>21</v>
      </c>
      <c r="G109">
        <v>4513</v>
      </c>
      <c r="H109">
        <v>0</v>
      </c>
      <c r="I109">
        <v>165</v>
      </c>
      <c r="J109">
        <v>360</v>
      </c>
      <c r="K109">
        <v>1</v>
      </c>
      <c r="L109" t="s">
        <v>33</v>
      </c>
      <c r="M109">
        <f>Table2[[#This Row],[ApplicantIncome]]+Table2[[#This Row],[CoapplicantIncome]]</f>
        <v>4513</v>
      </c>
      <c r="N109">
        <f>Table2[[#This Row],[LoanAmount]]/Table2[[#This Row],[Total_Income ]]</f>
        <v>3.6561045867493903E-2</v>
      </c>
      <c r="O109">
        <f>Table2[[#This Row],[LoanAmount]]/Table2[[#This Row],[Loan_Amount_Term]]</f>
        <v>0.45833333333333331</v>
      </c>
      <c r="P109">
        <f>IF(Table2[[#This Row],[Total_Income ]]&gt;=AVERAGE(Table2[[#This Row],[Total_Income ]]),1,0)</f>
        <v>1</v>
      </c>
    </row>
    <row r="110" spans="1:16">
      <c r="A110" t="s">
        <v>135</v>
      </c>
      <c r="B110" t="s">
        <v>18</v>
      </c>
      <c r="C110" t="s">
        <v>19</v>
      </c>
      <c r="D110" s="1">
        <v>0</v>
      </c>
      <c r="E110" t="s">
        <v>20</v>
      </c>
      <c r="F110" t="s">
        <v>21</v>
      </c>
      <c r="G110">
        <v>4500</v>
      </c>
      <c r="H110">
        <v>0</v>
      </c>
      <c r="I110">
        <v>108</v>
      </c>
      <c r="J110">
        <v>360</v>
      </c>
      <c r="K110">
        <v>0</v>
      </c>
      <c r="L110" t="s">
        <v>31</v>
      </c>
      <c r="M110">
        <f>Table2[[#This Row],[ApplicantIncome]]+Table2[[#This Row],[CoapplicantIncome]]</f>
        <v>4500</v>
      </c>
      <c r="N110">
        <f>Table2[[#This Row],[LoanAmount]]/Table2[[#This Row],[Total_Income ]]</f>
        <v>2.4E-2</v>
      </c>
      <c r="O110">
        <f>Table2[[#This Row],[LoanAmount]]/Table2[[#This Row],[Loan_Amount_Term]]</f>
        <v>0.3</v>
      </c>
      <c r="P110">
        <f>IF(Table2[[#This Row],[Total_Income ]]&gt;=AVERAGE(Table2[[#This Row],[Total_Income ]]),1,0)</f>
        <v>1</v>
      </c>
    </row>
    <row r="111" spans="1:16">
      <c r="A111" t="s">
        <v>136</v>
      </c>
      <c r="B111" t="s">
        <v>30</v>
      </c>
      <c r="C111" t="s">
        <v>19</v>
      </c>
      <c r="D111" s="1">
        <v>0</v>
      </c>
      <c r="E111" t="s">
        <v>27</v>
      </c>
      <c r="F111" t="s">
        <v>21</v>
      </c>
      <c r="G111">
        <v>4523</v>
      </c>
      <c r="H111">
        <v>1350</v>
      </c>
      <c r="I111">
        <v>93</v>
      </c>
      <c r="J111">
        <v>360</v>
      </c>
      <c r="K111">
        <v>0</v>
      </c>
      <c r="L111" t="s">
        <v>22</v>
      </c>
      <c r="M111">
        <f>Table2[[#This Row],[ApplicantIncome]]+Table2[[#This Row],[CoapplicantIncome]]</f>
        <v>5873</v>
      </c>
      <c r="N111">
        <f>Table2[[#This Row],[LoanAmount]]/Table2[[#This Row],[Total_Income ]]</f>
        <v>1.5835177932913332E-2</v>
      </c>
      <c r="O111">
        <f>Table2[[#This Row],[LoanAmount]]/Table2[[#This Row],[Loan_Amount_Term]]</f>
        <v>0.25833333333333336</v>
      </c>
      <c r="P111">
        <f>IF(Table2[[#This Row],[Total_Income ]]&gt;=AVERAGE(Table2[[#This Row],[Total_Income ]]),1,0)</f>
        <v>1</v>
      </c>
    </row>
    <row r="112" spans="1:16">
      <c r="A112" t="s">
        <v>137</v>
      </c>
      <c r="B112" t="s">
        <v>30</v>
      </c>
      <c r="C112" t="s">
        <v>21</v>
      </c>
      <c r="D112" s="1">
        <v>2</v>
      </c>
      <c r="E112" t="s">
        <v>20</v>
      </c>
      <c r="F112" t="s">
        <v>21</v>
      </c>
      <c r="G112">
        <v>4742</v>
      </c>
      <c r="H112">
        <v>0</v>
      </c>
      <c r="I112">
        <v>102</v>
      </c>
      <c r="J112">
        <v>360</v>
      </c>
      <c r="K112">
        <v>0</v>
      </c>
      <c r="L112" t="s">
        <v>31</v>
      </c>
      <c r="M112">
        <f>Table2[[#This Row],[ApplicantIncome]]+Table2[[#This Row],[CoapplicantIncome]]</f>
        <v>4742</v>
      </c>
      <c r="N112">
        <f>Table2[[#This Row],[LoanAmount]]/Table2[[#This Row],[Total_Income ]]</f>
        <v>2.1509911429776464E-2</v>
      </c>
      <c r="O112">
        <f>Table2[[#This Row],[LoanAmount]]/Table2[[#This Row],[Loan_Amount_Term]]</f>
        <v>0.28333333333333333</v>
      </c>
      <c r="P112">
        <f>IF(Table2[[#This Row],[Total_Income ]]&gt;=AVERAGE(Table2[[#This Row],[Total_Income ]]),1,0)</f>
        <v>1</v>
      </c>
    </row>
    <row r="113" spans="1:16">
      <c r="A113" t="s">
        <v>138</v>
      </c>
      <c r="B113" t="s">
        <v>18</v>
      </c>
      <c r="C113" t="s">
        <v>19</v>
      </c>
      <c r="D113" s="1">
        <v>0</v>
      </c>
      <c r="E113" t="s">
        <v>20</v>
      </c>
      <c r="F113" t="s">
        <v>21</v>
      </c>
      <c r="G113">
        <v>4082</v>
      </c>
      <c r="H113">
        <v>0</v>
      </c>
      <c r="I113">
        <v>122</v>
      </c>
      <c r="J113">
        <v>360</v>
      </c>
      <c r="K113">
        <v>1</v>
      </c>
      <c r="L113" t="s">
        <v>31</v>
      </c>
      <c r="M113">
        <f>Table2[[#This Row],[ApplicantIncome]]+Table2[[#This Row],[CoapplicantIncome]]</f>
        <v>4082</v>
      </c>
      <c r="N113">
        <f>Table2[[#This Row],[LoanAmount]]/Table2[[#This Row],[Total_Income ]]</f>
        <v>2.9887310142087214E-2</v>
      </c>
      <c r="O113">
        <f>Table2[[#This Row],[LoanAmount]]/Table2[[#This Row],[Loan_Amount_Term]]</f>
        <v>0.33888888888888891</v>
      </c>
      <c r="P113">
        <f>IF(Table2[[#This Row],[Total_Income ]]&gt;=AVERAGE(Table2[[#This Row],[Total_Income ]]),1,0)</f>
        <v>1</v>
      </c>
    </row>
    <row r="114" spans="1:16">
      <c r="A114" t="s">
        <v>139</v>
      </c>
      <c r="B114" t="s">
        <v>18</v>
      </c>
      <c r="C114" t="s">
        <v>21</v>
      </c>
      <c r="D114" s="1" t="s">
        <v>39</v>
      </c>
      <c r="E114" t="s">
        <v>20</v>
      </c>
      <c r="F114" t="s">
        <v>21</v>
      </c>
      <c r="G114">
        <v>3417</v>
      </c>
      <c r="H114">
        <v>0</v>
      </c>
      <c r="I114">
        <v>160</v>
      </c>
      <c r="J114">
        <v>360</v>
      </c>
      <c r="K114">
        <v>1</v>
      </c>
      <c r="L114" t="s">
        <v>22</v>
      </c>
      <c r="M114">
        <f>Table2[[#This Row],[ApplicantIncome]]+Table2[[#This Row],[CoapplicantIncome]]</f>
        <v>3417</v>
      </c>
      <c r="N114">
        <f>Table2[[#This Row],[LoanAmount]]/Table2[[#This Row],[Total_Income ]]</f>
        <v>4.6824700029265434E-2</v>
      </c>
      <c r="O114">
        <f>Table2[[#This Row],[LoanAmount]]/Table2[[#This Row],[Loan_Amount_Term]]</f>
        <v>0.44444444444444442</v>
      </c>
      <c r="P114">
        <f>IF(Table2[[#This Row],[Total_Income ]]&gt;=AVERAGE(Table2[[#This Row],[Total_Income ]]),1,0)</f>
        <v>1</v>
      </c>
    </row>
    <row r="115" spans="1:16">
      <c r="A115" t="s">
        <v>140</v>
      </c>
      <c r="B115" t="s">
        <v>30</v>
      </c>
      <c r="C115" t="s">
        <v>19</v>
      </c>
      <c r="D115" s="1">
        <v>0</v>
      </c>
      <c r="E115" t="s">
        <v>20</v>
      </c>
      <c r="F115" t="s">
        <v>21</v>
      </c>
      <c r="G115">
        <v>2922</v>
      </c>
      <c r="H115">
        <v>3396</v>
      </c>
      <c r="I115">
        <v>157</v>
      </c>
      <c r="J115">
        <v>360</v>
      </c>
      <c r="K115">
        <v>1</v>
      </c>
      <c r="L115" t="s">
        <v>31</v>
      </c>
      <c r="M115">
        <f>Table2[[#This Row],[ApplicantIncome]]+Table2[[#This Row],[CoapplicantIncome]]</f>
        <v>6318</v>
      </c>
      <c r="N115">
        <f>Table2[[#This Row],[LoanAmount]]/Table2[[#This Row],[Total_Income ]]</f>
        <v>2.4849635960747071E-2</v>
      </c>
      <c r="O115">
        <f>Table2[[#This Row],[LoanAmount]]/Table2[[#This Row],[Loan_Amount_Term]]</f>
        <v>0.43611111111111112</v>
      </c>
      <c r="P115">
        <f>IF(Table2[[#This Row],[Total_Income ]]&gt;=AVERAGE(Table2[[#This Row],[Total_Income ]]),1,0)</f>
        <v>1</v>
      </c>
    </row>
    <row r="116" spans="1:16">
      <c r="A116" t="s">
        <v>141</v>
      </c>
      <c r="B116" t="s">
        <v>18</v>
      </c>
      <c r="C116" t="s">
        <v>19</v>
      </c>
      <c r="D116" s="1">
        <v>1</v>
      </c>
      <c r="E116" t="s">
        <v>20</v>
      </c>
      <c r="F116" t="s">
        <v>21</v>
      </c>
      <c r="G116">
        <v>4167</v>
      </c>
      <c r="H116">
        <v>4754</v>
      </c>
      <c r="I116">
        <v>180</v>
      </c>
      <c r="J116">
        <v>360</v>
      </c>
      <c r="K116">
        <v>0</v>
      </c>
      <c r="L116" t="s">
        <v>33</v>
      </c>
      <c r="M116">
        <f>Table2[[#This Row],[ApplicantIncome]]+Table2[[#This Row],[CoapplicantIncome]]</f>
        <v>8921</v>
      </c>
      <c r="N116">
        <f>Table2[[#This Row],[LoanAmount]]/Table2[[#This Row],[Total_Income ]]</f>
        <v>2.0177110189440645E-2</v>
      </c>
      <c r="O116">
        <f>Table2[[#This Row],[LoanAmount]]/Table2[[#This Row],[Loan_Amount_Term]]</f>
        <v>0.5</v>
      </c>
      <c r="P116">
        <f>IF(Table2[[#This Row],[Total_Income ]]&gt;=AVERAGE(Table2[[#This Row],[Total_Income ]]),1,0)</f>
        <v>1</v>
      </c>
    </row>
    <row r="117" spans="1:16">
      <c r="A117" t="s">
        <v>142</v>
      </c>
      <c r="B117" t="s">
        <v>30</v>
      </c>
      <c r="C117" t="s">
        <v>21</v>
      </c>
      <c r="D117" s="1">
        <v>0</v>
      </c>
      <c r="E117" t="s">
        <v>20</v>
      </c>
      <c r="F117" t="s">
        <v>21</v>
      </c>
      <c r="G117">
        <v>4243</v>
      </c>
      <c r="H117">
        <v>4123</v>
      </c>
      <c r="I117">
        <v>80</v>
      </c>
      <c r="J117">
        <v>360</v>
      </c>
      <c r="K117">
        <v>0</v>
      </c>
      <c r="L117" t="s">
        <v>31</v>
      </c>
      <c r="M117">
        <f>Table2[[#This Row],[ApplicantIncome]]+Table2[[#This Row],[CoapplicantIncome]]</f>
        <v>8366</v>
      </c>
      <c r="N117">
        <f>Table2[[#This Row],[LoanAmount]]/Table2[[#This Row],[Total_Income ]]</f>
        <v>9.5625149414295951E-3</v>
      </c>
      <c r="O117">
        <f>Table2[[#This Row],[LoanAmount]]/Table2[[#This Row],[Loan_Amount_Term]]</f>
        <v>0.22222222222222221</v>
      </c>
      <c r="P117">
        <f>IF(Table2[[#This Row],[Total_Income ]]&gt;=AVERAGE(Table2[[#This Row],[Total_Income ]]),1,0)</f>
        <v>1</v>
      </c>
    </row>
    <row r="118" spans="1:16">
      <c r="A118" t="s">
        <v>143</v>
      </c>
      <c r="B118" t="s">
        <v>18</v>
      </c>
      <c r="C118" t="s">
        <v>21</v>
      </c>
      <c r="D118" s="1">
        <v>2</v>
      </c>
      <c r="E118" t="s">
        <v>27</v>
      </c>
      <c r="F118" t="s">
        <v>21</v>
      </c>
      <c r="G118">
        <v>0</v>
      </c>
      <c r="H118">
        <v>1760</v>
      </c>
      <c r="I118">
        <v>104</v>
      </c>
      <c r="J118">
        <v>360</v>
      </c>
      <c r="K118">
        <v>1</v>
      </c>
      <c r="L118" t="s">
        <v>31</v>
      </c>
      <c r="M118">
        <f>Table2[[#This Row],[ApplicantIncome]]+Table2[[#This Row],[CoapplicantIncome]]</f>
        <v>1760</v>
      </c>
      <c r="N118">
        <f>Table2[[#This Row],[LoanAmount]]/Table2[[#This Row],[Total_Income ]]</f>
        <v>5.909090909090909E-2</v>
      </c>
      <c r="O118">
        <f>Table2[[#This Row],[LoanAmount]]/Table2[[#This Row],[Loan_Amount_Term]]</f>
        <v>0.28888888888888886</v>
      </c>
      <c r="P118">
        <f>IF(Table2[[#This Row],[Total_Income ]]&gt;=AVERAGE(Table2[[#This Row],[Total_Income ]]),1,0)</f>
        <v>1</v>
      </c>
    </row>
    <row r="119" spans="1:16">
      <c r="A119" t="s">
        <v>144</v>
      </c>
      <c r="B119" t="s">
        <v>18</v>
      </c>
      <c r="C119" t="s">
        <v>19</v>
      </c>
      <c r="D119" s="1">
        <v>0</v>
      </c>
      <c r="E119" t="s">
        <v>20</v>
      </c>
      <c r="F119" t="s">
        <v>21</v>
      </c>
      <c r="G119">
        <v>1516</v>
      </c>
      <c r="H119">
        <v>2900</v>
      </c>
      <c r="I119">
        <v>213</v>
      </c>
      <c r="J119">
        <v>360</v>
      </c>
      <c r="K119">
        <v>0</v>
      </c>
      <c r="L119" t="s">
        <v>33</v>
      </c>
      <c r="M119">
        <f>Table2[[#This Row],[ApplicantIncome]]+Table2[[#This Row],[CoapplicantIncome]]</f>
        <v>4416</v>
      </c>
      <c r="N119">
        <f>Table2[[#This Row],[LoanAmount]]/Table2[[#This Row],[Total_Income ]]</f>
        <v>4.8233695652173912E-2</v>
      </c>
      <c r="O119">
        <f>Table2[[#This Row],[LoanAmount]]/Table2[[#This Row],[Loan_Amount_Term]]</f>
        <v>0.59166666666666667</v>
      </c>
      <c r="P119">
        <f>IF(Table2[[#This Row],[Total_Income ]]&gt;=AVERAGE(Table2[[#This Row],[Total_Income ]]),1,0)</f>
        <v>1</v>
      </c>
    </row>
    <row r="120" spans="1:16">
      <c r="A120" t="s">
        <v>145</v>
      </c>
      <c r="B120" t="s">
        <v>18</v>
      </c>
      <c r="C120" t="s">
        <v>21</v>
      </c>
      <c r="D120" s="1">
        <v>0</v>
      </c>
      <c r="E120" t="s">
        <v>20</v>
      </c>
      <c r="F120" t="s">
        <v>21</v>
      </c>
      <c r="G120">
        <v>1762</v>
      </c>
      <c r="H120">
        <v>2666</v>
      </c>
      <c r="I120">
        <v>65</v>
      </c>
      <c r="J120">
        <v>360</v>
      </c>
      <c r="K120">
        <v>1</v>
      </c>
      <c r="L120" t="s">
        <v>22</v>
      </c>
      <c r="M120">
        <f>Table2[[#This Row],[ApplicantIncome]]+Table2[[#This Row],[CoapplicantIncome]]</f>
        <v>4428</v>
      </c>
      <c r="N120">
        <f>Table2[[#This Row],[LoanAmount]]/Table2[[#This Row],[Total_Income ]]</f>
        <v>1.4679313459801264E-2</v>
      </c>
      <c r="O120">
        <f>Table2[[#This Row],[LoanAmount]]/Table2[[#This Row],[Loan_Amount_Term]]</f>
        <v>0.18055555555555555</v>
      </c>
      <c r="P120">
        <f>IF(Table2[[#This Row],[Total_Income ]]&gt;=AVERAGE(Table2[[#This Row],[Total_Income ]]),1,0)</f>
        <v>1</v>
      </c>
    </row>
    <row r="121" spans="1:16">
      <c r="A121" t="s">
        <v>146</v>
      </c>
      <c r="B121" t="s">
        <v>18</v>
      </c>
      <c r="C121" t="s">
        <v>19</v>
      </c>
      <c r="D121" s="1" t="s">
        <v>39</v>
      </c>
      <c r="E121" t="s">
        <v>20</v>
      </c>
      <c r="F121" t="s">
        <v>21</v>
      </c>
      <c r="G121">
        <v>724</v>
      </c>
      <c r="H121">
        <v>3510</v>
      </c>
      <c r="I121">
        <v>146</v>
      </c>
      <c r="J121">
        <v>360</v>
      </c>
      <c r="K121">
        <v>1</v>
      </c>
      <c r="L121" t="s">
        <v>33</v>
      </c>
      <c r="M121">
        <f>Table2[[#This Row],[ApplicantIncome]]+Table2[[#This Row],[CoapplicantIncome]]</f>
        <v>4234</v>
      </c>
      <c r="N121">
        <f>Table2[[#This Row],[LoanAmount]]/Table2[[#This Row],[Total_Income ]]</f>
        <v>3.4482758620689655E-2</v>
      </c>
      <c r="O121">
        <f>Table2[[#This Row],[LoanAmount]]/Table2[[#This Row],[Loan_Amount_Term]]</f>
        <v>0.40555555555555556</v>
      </c>
      <c r="P121">
        <f>IF(Table2[[#This Row],[Total_Income ]]&gt;=AVERAGE(Table2[[#This Row],[Total_Income ]]),1,0)</f>
        <v>1</v>
      </c>
    </row>
    <row r="122" spans="1:16">
      <c r="A122" t="s">
        <v>147</v>
      </c>
      <c r="B122" t="s">
        <v>18</v>
      </c>
      <c r="C122" t="s">
        <v>21</v>
      </c>
      <c r="D122" s="1">
        <v>0</v>
      </c>
      <c r="E122" t="s">
        <v>20</v>
      </c>
      <c r="F122" t="s">
        <v>21</v>
      </c>
      <c r="G122">
        <v>3125</v>
      </c>
      <c r="H122">
        <v>0</v>
      </c>
      <c r="I122">
        <v>135</v>
      </c>
      <c r="J122">
        <v>360</v>
      </c>
      <c r="K122">
        <v>1</v>
      </c>
      <c r="L122" t="s">
        <v>22</v>
      </c>
      <c r="M122">
        <f>Table2[[#This Row],[ApplicantIncome]]+Table2[[#This Row],[CoapplicantIncome]]</f>
        <v>3125</v>
      </c>
      <c r="N122">
        <f>Table2[[#This Row],[LoanAmount]]/Table2[[#This Row],[Total_Income ]]</f>
        <v>4.3200000000000002E-2</v>
      </c>
      <c r="O122">
        <f>Table2[[#This Row],[LoanAmount]]/Table2[[#This Row],[Loan_Amount_Term]]</f>
        <v>0.375</v>
      </c>
      <c r="P122">
        <f>IF(Table2[[#This Row],[Total_Income ]]&gt;=AVERAGE(Table2[[#This Row],[Total_Income ]]),1,0)</f>
        <v>1</v>
      </c>
    </row>
    <row r="123" spans="1:16">
      <c r="A123" t="s">
        <v>148</v>
      </c>
      <c r="B123" t="s">
        <v>30</v>
      </c>
      <c r="C123" t="s">
        <v>19</v>
      </c>
      <c r="D123" s="1">
        <v>0</v>
      </c>
      <c r="E123" t="s">
        <v>20</v>
      </c>
      <c r="F123" t="s">
        <v>21</v>
      </c>
      <c r="G123">
        <v>2333</v>
      </c>
      <c r="H123">
        <v>3803</v>
      </c>
      <c r="I123">
        <v>187</v>
      </c>
      <c r="J123">
        <v>360</v>
      </c>
      <c r="K123">
        <v>1</v>
      </c>
      <c r="L123" t="s">
        <v>33</v>
      </c>
      <c r="M123">
        <f>Table2[[#This Row],[ApplicantIncome]]+Table2[[#This Row],[CoapplicantIncome]]</f>
        <v>6136</v>
      </c>
      <c r="N123">
        <f>Table2[[#This Row],[LoanAmount]]/Table2[[#This Row],[Total_Income ]]</f>
        <v>3.0475880052151239E-2</v>
      </c>
      <c r="O123">
        <f>Table2[[#This Row],[LoanAmount]]/Table2[[#This Row],[Loan_Amount_Term]]</f>
        <v>0.51944444444444449</v>
      </c>
      <c r="P123">
        <f>IF(Table2[[#This Row],[Total_Income ]]&gt;=AVERAGE(Table2[[#This Row],[Total_Income ]]),1,0)</f>
        <v>1</v>
      </c>
    </row>
    <row r="124" spans="1:16">
      <c r="A124" t="s">
        <v>149</v>
      </c>
      <c r="B124" t="s">
        <v>18</v>
      </c>
      <c r="C124" t="s">
        <v>19</v>
      </c>
      <c r="D124" s="1">
        <v>0</v>
      </c>
      <c r="E124" t="s">
        <v>20</v>
      </c>
      <c r="F124" t="s">
        <v>21</v>
      </c>
      <c r="G124">
        <v>3350</v>
      </c>
      <c r="H124">
        <v>1560</v>
      </c>
      <c r="I124">
        <v>300</v>
      </c>
      <c r="J124">
        <v>360</v>
      </c>
      <c r="K124">
        <v>1</v>
      </c>
      <c r="L124" t="s">
        <v>22</v>
      </c>
      <c r="M124">
        <f>Table2[[#This Row],[ApplicantIncome]]+Table2[[#This Row],[CoapplicantIncome]]</f>
        <v>4910</v>
      </c>
      <c r="N124">
        <f>Table2[[#This Row],[LoanAmount]]/Table2[[#This Row],[Total_Income ]]</f>
        <v>6.1099796334012219E-2</v>
      </c>
      <c r="O124">
        <f>Table2[[#This Row],[LoanAmount]]/Table2[[#This Row],[Loan_Amount_Term]]</f>
        <v>0.83333333333333337</v>
      </c>
      <c r="P124">
        <f>IF(Table2[[#This Row],[Total_Income ]]&gt;=AVERAGE(Table2[[#This Row],[Total_Income ]]),1,0)</f>
        <v>1</v>
      </c>
    </row>
    <row r="125" spans="1:16">
      <c r="A125" t="s">
        <v>150</v>
      </c>
      <c r="B125" t="s">
        <v>18</v>
      </c>
      <c r="C125" t="s">
        <v>21</v>
      </c>
      <c r="D125" s="1">
        <v>0</v>
      </c>
      <c r="E125" t="s">
        <v>20</v>
      </c>
      <c r="F125" t="s">
        <v>21</v>
      </c>
      <c r="G125">
        <v>2500</v>
      </c>
      <c r="H125">
        <v>6414</v>
      </c>
      <c r="I125">
        <v>120</v>
      </c>
      <c r="J125">
        <v>360</v>
      </c>
      <c r="K125">
        <v>1</v>
      </c>
      <c r="L125" t="s">
        <v>33</v>
      </c>
      <c r="M125">
        <f>Table2[[#This Row],[ApplicantIncome]]+Table2[[#This Row],[CoapplicantIncome]]</f>
        <v>8914</v>
      </c>
      <c r="N125">
        <f>Table2[[#This Row],[LoanAmount]]/Table2[[#This Row],[Total_Income ]]</f>
        <v>1.3461969934933812E-2</v>
      </c>
      <c r="O125">
        <f>Table2[[#This Row],[LoanAmount]]/Table2[[#This Row],[Loan_Amount_Term]]</f>
        <v>0.33333333333333331</v>
      </c>
      <c r="P125">
        <f>IF(Table2[[#This Row],[Total_Income ]]&gt;=AVERAGE(Table2[[#This Row],[Total_Income ]]),1,0)</f>
        <v>1</v>
      </c>
    </row>
    <row r="126" spans="1:16">
      <c r="A126" t="s">
        <v>151</v>
      </c>
      <c r="B126" t="s">
        <v>18</v>
      </c>
      <c r="C126" t="s">
        <v>21</v>
      </c>
      <c r="D126" s="1">
        <v>2</v>
      </c>
      <c r="E126" t="s">
        <v>20</v>
      </c>
      <c r="F126" t="s">
        <v>21</v>
      </c>
      <c r="G126">
        <v>12500</v>
      </c>
      <c r="H126">
        <v>0</v>
      </c>
      <c r="I126">
        <v>71</v>
      </c>
      <c r="J126">
        <v>360</v>
      </c>
      <c r="K126">
        <v>1</v>
      </c>
      <c r="L126" t="s">
        <v>22</v>
      </c>
      <c r="M126">
        <f>Table2[[#This Row],[ApplicantIncome]]+Table2[[#This Row],[CoapplicantIncome]]</f>
        <v>12500</v>
      </c>
      <c r="N126">
        <f>Table2[[#This Row],[LoanAmount]]/Table2[[#This Row],[Total_Income ]]</f>
        <v>5.6800000000000002E-3</v>
      </c>
      <c r="O126">
        <f>Table2[[#This Row],[LoanAmount]]/Table2[[#This Row],[Loan_Amount_Term]]</f>
        <v>0.19722222222222222</v>
      </c>
      <c r="P126">
        <f>IF(Table2[[#This Row],[Total_Income ]]&gt;=AVERAGE(Table2[[#This Row],[Total_Income ]]),1,0)</f>
        <v>1</v>
      </c>
    </row>
    <row r="127" spans="1:16">
      <c r="A127" t="s">
        <v>152</v>
      </c>
      <c r="B127" t="s">
        <v>18</v>
      </c>
      <c r="C127" t="s">
        <v>21</v>
      </c>
      <c r="D127" s="1">
        <v>0</v>
      </c>
      <c r="E127" t="s">
        <v>20</v>
      </c>
      <c r="F127" t="s">
        <v>21</v>
      </c>
      <c r="G127">
        <v>4667</v>
      </c>
      <c r="H127">
        <v>0</v>
      </c>
      <c r="I127">
        <v>225</v>
      </c>
      <c r="J127">
        <v>180</v>
      </c>
      <c r="K127">
        <v>1</v>
      </c>
      <c r="L127" t="s">
        <v>31</v>
      </c>
      <c r="M127">
        <f>Table2[[#This Row],[ApplicantIncome]]+Table2[[#This Row],[CoapplicantIncome]]</f>
        <v>4667</v>
      </c>
      <c r="N127">
        <f>Table2[[#This Row],[LoanAmount]]/Table2[[#This Row],[Total_Income ]]</f>
        <v>4.8210842082708379E-2</v>
      </c>
      <c r="O127">
        <f>Table2[[#This Row],[LoanAmount]]/Table2[[#This Row],[Loan_Amount_Term]]</f>
        <v>1.25</v>
      </c>
      <c r="P127">
        <f>IF(Table2[[#This Row],[Total_Income ]]&gt;=AVERAGE(Table2[[#This Row],[Total_Income ]]),1,0)</f>
        <v>1</v>
      </c>
    </row>
    <row r="128" spans="1:16">
      <c r="A128" t="s">
        <v>153</v>
      </c>
      <c r="B128" t="s">
        <v>18</v>
      </c>
      <c r="C128" t="s">
        <v>21</v>
      </c>
      <c r="D128" s="1">
        <v>1</v>
      </c>
      <c r="E128" t="s">
        <v>20</v>
      </c>
      <c r="F128" t="s">
        <v>19</v>
      </c>
      <c r="G128">
        <v>6500</v>
      </c>
      <c r="H128">
        <v>0</v>
      </c>
      <c r="I128">
        <v>70</v>
      </c>
      <c r="J128">
        <v>360</v>
      </c>
      <c r="K128">
        <v>1</v>
      </c>
      <c r="L128" t="s">
        <v>22</v>
      </c>
      <c r="M128">
        <f>Table2[[#This Row],[ApplicantIncome]]+Table2[[#This Row],[CoapplicantIncome]]</f>
        <v>6500</v>
      </c>
      <c r="N128">
        <f>Table2[[#This Row],[LoanAmount]]/Table2[[#This Row],[Total_Income ]]</f>
        <v>1.0769230769230769E-2</v>
      </c>
      <c r="O128">
        <f>Table2[[#This Row],[LoanAmount]]/Table2[[#This Row],[Loan_Amount_Term]]</f>
        <v>0.19444444444444445</v>
      </c>
      <c r="P128">
        <f>IF(Table2[[#This Row],[Total_Income ]]&gt;=AVERAGE(Table2[[#This Row],[Total_Income ]]),1,0)</f>
        <v>1</v>
      </c>
    </row>
    <row r="129" spans="1:16">
      <c r="A129" t="s">
        <v>154</v>
      </c>
      <c r="B129" t="s">
        <v>18</v>
      </c>
      <c r="C129" t="s">
        <v>19</v>
      </c>
      <c r="D129" s="1">
        <v>0</v>
      </c>
      <c r="E129" t="s">
        <v>20</v>
      </c>
      <c r="F129" t="s">
        <v>21</v>
      </c>
      <c r="G129">
        <v>7500</v>
      </c>
      <c r="H129">
        <v>0</v>
      </c>
      <c r="I129">
        <v>70</v>
      </c>
      <c r="J129">
        <v>360</v>
      </c>
      <c r="K129">
        <v>1</v>
      </c>
      <c r="L129" t="s">
        <v>22</v>
      </c>
      <c r="M129">
        <f>Table2[[#This Row],[ApplicantIncome]]+Table2[[#This Row],[CoapplicantIncome]]</f>
        <v>7500</v>
      </c>
      <c r="N129">
        <f>Table2[[#This Row],[LoanAmount]]/Table2[[#This Row],[Total_Income ]]</f>
        <v>9.3333333333333341E-3</v>
      </c>
      <c r="O129">
        <f>Table2[[#This Row],[LoanAmount]]/Table2[[#This Row],[Loan_Amount_Term]]</f>
        <v>0.19444444444444445</v>
      </c>
      <c r="P129">
        <f>IF(Table2[[#This Row],[Total_Income ]]&gt;=AVERAGE(Table2[[#This Row],[Total_Income ]]),1,0)</f>
        <v>1</v>
      </c>
    </row>
    <row r="130" spans="1:16">
      <c r="A130" t="s">
        <v>155</v>
      </c>
      <c r="B130" t="s">
        <v>18</v>
      </c>
      <c r="C130" t="s">
        <v>21</v>
      </c>
      <c r="D130" s="1">
        <v>0</v>
      </c>
      <c r="E130" t="s">
        <v>20</v>
      </c>
      <c r="F130" t="s">
        <v>21</v>
      </c>
      <c r="G130">
        <v>3073</v>
      </c>
      <c r="H130">
        <v>0</v>
      </c>
      <c r="I130">
        <v>124</v>
      </c>
      <c r="J130">
        <v>360</v>
      </c>
      <c r="K130">
        <v>1</v>
      </c>
      <c r="L130" t="s">
        <v>22</v>
      </c>
      <c r="M130">
        <f>Table2[[#This Row],[ApplicantIncome]]+Table2[[#This Row],[CoapplicantIncome]]</f>
        <v>3073</v>
      </c>
      <c r="N130">
        <f>Table2[[#This Row],[LoanAmount]]/Table2[[#This Row],[Total_Income ]]</f>
        <v>4.0351448096322809E-2</v>
      </c>
      <c r="O130">
        <f>Table2[[#This Row],[LoanAmount]]/Table2[[#This Row],[Loan_Amount_Term]]</f>
        <v>0.34444444444444444</v>
      </c>
      <c r="P130">
        <f>IF(Table2[[#This Row],[Total_Income ]]&gt;=AVERAGE(Table2[[#This Row],[Total_Income ]]),1,0)</f>
        <v>1</v>
      </c>
    </row>
    <row r="131" spans="1:16">
      <c r="A131" t="s">
        <v>156</v>
      </c>
      <c r="B131" t="s">
        <v>18</v>
      </c>
      <c r="C131" t="s">
        <v>19</v>
      </c>
      <c r="D131" s="1">
        <v>1</v>
      </c>
      <c r="E131" t="s">
        <v>27</v>
      </c>
      <c r="F131" t="s">
        <v>21</v>
      </c>
      <c r="G131">
        <v>3321</v>
      </c>
      <c r="H131">
        <v>2088</v>
      </c>
      <c r="I131">
        <v>132</v>
      </c>
      <c r="J131">
        <v>360</v>
      </c>
      <c r="K131">
        <v>1</v>
      </c>
      <c r="L131" t="s">
        <v>31</v>
      </c>
      <c r="M131">
        <f>Table2[[#This Row],[ApplicantIncome]]+Table2[[#This Row],[CoapplicantIncome]]</f>
        <v>5409</v>
      </c>
      <c r="N131">
        <f>Table2[[#This Row],[LoanAmount]]/Table2[[#This Row],[Total_Income ]]</f>
        <v>2.4403771491957847E-2</v>
      </c>
      <c r="O131">
        <f>Table2[[#This Row],[LoanAmount]]/Table2[[#This Row],[Loan_Amount_Term]]</f>
        <v>0.36666666666666664</v>
      </c>
      <c r="P131">
        <f>IF(Table2[[#This Row],[Total_Income ]]&gt;=AVERAGE(Table2[[#This Row],[Total_Income ]]),1,0)</f>
        <v>1</v>
      </c>
    </row>
    <row r="132" spans="1:16">
      <c r="A132" t="s">
        <v>157</v>
      </c>
      <c r="B132" t="s">
        <v>30</v>
      </c>
      <c r="C132" t="s">
        <v>19</v>
      </c>
      <c r="D132" s="1">
        <v>1</v>
      </c>
      <c r="E132" t="s">
        <v>20</v>
      </c>
      <c r="F132" t="s">
        <v>21</v>
      </c>
      <c r="G132">
        <v>3333</v>
      </c>
      <c r="H132">
        <v>1270</v>
      </c>
      <c r="I132">
        <v>105</v>
      </c>
      <c r="J132">
        <v>84</v>
      </c>
      <c r="K132">
        <v>0</v>
      </c>
      <c r="L132" t="s">
        <v>22</v>
      </c>
      <c r="M132">
        <f>Table2[[#This Row],[ApplicantIncome]]+Table2[[#This Row],[CoapplicantIncome]]</f>
        <v>4603</v>
      </c>
      <c r="N132">
        <f>Table2[[#This Row],[LoanAmount]]/Table2[[#This Row],[Total_Income ]]</f>
        <v>2.2811210080382359E-2</v>
      </c>
      <c r="O132">
        <f>Table2[[#This Row],[LoanAmount]]/Table2[[#This Row],[Loan_Amount_Term]]</f>
        <v>1.25</v>
      </c>
      <c r="P132">
        <f>IF(Table2[[#This Row],[Total_Income ]]&gt;=AVERAGE(Table2[[#This Row],[Total_Income ]]),1,0)</f>
        <v>1</v>
      </c>
    </row>
    <row r="133" spans="1:16">
      <c r="A133" t="s">
        <v>158</v>
      </c>
      <c r="B133" t="s">
        <v>18</v>
      </c>
      <c r="C133" t="s">
        <v>21</v>
      </c>
      <c r="D133" s="1">
        <v>0</v>
      </c>
      <c r="E133" t="s">
        <v>20</v>
      </c>
      <c r="F133" t="s">
        <v>21</v>
      </c>
      <c r="G133">
        <v>3391</v>
      </c>
      <c r="H133">
        <v>0</v>
      </c>
      <c r="I133">
        <v>90</v>
      </c>
      <c r="J133">
        <v>360</v>
      </c>
      <c r="K133">
        <v>1</v>
      </c>
      <c r="L133" t="s">
        <v>33</v>
      </c>
      <c r="M133">
        <f>Table2[[#This Row],[ApplicantIncome]]+Table2[[#This Row],[CoapplicantIncome]]</f>
        <v>3391</v>
      </c>
      <c r="N133">
        <f>Table2[[#This Row],[LoanAmount]]/Table2[[#This Row],[Total_Income ]]</f>
        <v>2.6540843409023886E-2</v>
      </c>
      <c r="O133">
        <f>Table2[[#This Row],[LoanAmount]]/Table2[[#This Row],[Loan_Amount_Term]]</f>
        <v>0.25</v>
      </c>
      <c r="P133">
        <f>IF(Table2[[#This Row],[Total_Income ]]&gt;=AVERAGE(Table2[[#This Row],[Total_Income ]]),1,0)</f>
        <v>1</v>
      </c>
    </row>
    <row r="134" spans="1:16">
      <c r="A134" t="s">
        <v>159</v>
      </c>
      <c r="B134" t="s">
        <v>18</v>
      </c>
      <c r="C134" t="s">
        <v>19</v>
      </c>
      <c r="D134" s="1">
        <v>0</v>
      </c>
      <c r="E134" t="s">
        <v>20</v>
      </c>
      <c r="F134" t="s">
        <v>21</v>
      </c>
      <c r="G134">
        <v>3343</v>
      </c>
      <c r="H134">
        <v>1517</v>
      </c>
      <c r="I134">
        <v>83</v>
      </c>
      <c r="J134">
        <v>360</v>
      </c>
      <c r="K134">
        <v>0</v>
      </c>
      <c r="L134" t="s">
        <v>33</v>
      </c>
      <c r="M134">
        <f>Table2[[#This Row],[ApplicantIncome]]+Table2[[#This Row],[CoapplicantIncome]]</f>
        <v>4860</v>
      </c>
      <c r="N134">
        <f>Table2[[#This Row],[LoanAmount]]/Table2[[#This Row],[Total_Income ]]</f>
        <v>1.7078189300411523E-2</v>
      </c>
      <c r="O134">
        <f>Table2[[#This Row],[LoanAmount]]/Table2[[#This Row],[Loan_Amount_Term]]</f>
        <v>0.23055555555555557</v>
      </c>
      <c r="P134">
        <f>IF(Table2[[#This Row],[Total_Income ]]&gt;=AVERAGE(Table2[[#This Row],[Total_Income ]]),1,0)</f>
        <v>1</v>
      </c>
    </row>
    <row r="135" spans="1:16">
      <c r="A135" t="s">
        <v>160</v>
      </c>
      <c r="B135" t="s">
        <v>18</v>
      </c>
      <c r="C135" t="s">
        <v>21</v>
      </c>
      <c r="D135" s="1">
        <v>2</v>
      </c>
      <c r="E135" t="s">
        <v>20</v>
      </c>
      <c r="F135" t="s">
        <v>21</v>
      </c>
      <c r="G135">
        <v>3620</v>
      </c>
      <c r="H135">
        <v>0</v>
      </c>
      <c r="I135">
        <v>125</v>
      </c>
      <c r="J135">
        <v>360</v>
      </c>
      <c r="K135">
        <v>1</v>
      </c>
      <c r="L135" t="s">
        <v>22</v>
      </c>
      <c r="M135">
        <f>Table2[[#This Row],[ApplicantIncome]]+Table2[[#This Row],[CoapplicantIncome]]</f>
        <v>3620</v>
      </c>
      <c r="N135">
        <f>Table2[[#This Row],[LoanAmount]]/Table2[[#This Row],[Total_Income ]]</f>
        <v>3.4530386740331494E-2</v>
      </c>
      <c r="O135">
        <f>Table2[[#This Row],[LoanAmount]]/Table2[[#This Row],[Loan_Amount_Term]]</f>
        <v>0.34722222222222221</v>
      </c>
      <c r="P135">
        <f>IF(Table2[[#This Row],[Total_Income ]]&gt;=AVERAGE(Table2[[#This Row],[Total_Income ]]),1,0)</f>
        <v>1</v>
      </c>
    </row>
    <row r="136" spans="1:16">
      <c r="A136" t="s">
        <v>161</v>
      </c>
      <c r="B136" t="s">
        <v>18</v>
      </c>
      <c r="C136" t="s">
        <v>21</v>
      </c>
      <c r="D136" s="1">
        <v>1</v>
      </c>
      <c r="E136" t="s">
        <v>20</v>
      </c>
      <c r="F136" t="s">
        <v>21</v>
      </c>
      <c r="G136">
        <v>4000</v>
      </c>
      <c r="H136">
        <v>0</v>
      </c>
      <c r="I136">
        <v>147</v>
      </c>
      <c r="J136">
        <v>360</v>
      </c>
      <c r="K136">
        <v>1</v>
      </c>
      <c r="L136" t="s">
        <v>22</v>
      </c>
      <c r="M136">
        <f>Table2[[#This Row],[ApplicantIncome]]+Table2[[#This Row],[CoapplicantIncome]]</f>
        <v>4000</v>
      </c>
      <c r="N136">
        <f>Table2[[#This Row],[LoanAmount]]/Table2[[#This Row],[Total_Income ]]</f>
        <v>3.6749999999999998E-2</v>
      </c>
      <c r="O136">
        <f>Table2[[#This Row],[LoanAmount]]/Table2[[#This Row],[Loan_Amount_Term]]</f>
        <v>0.40833333333333333</v>
      </c>
      <c r="P136">
        <f>IF(Table2[[#This Row],[Total_Income ]]&gt;=AVERAGE(Table2[[#This Row],[Total_Income ]]),1,0)</f>
        <v>1</v>
      </c>
    </row>
    <row r="137" spans="1:16">
      <c r="A137" t="s">
        <v>162</v>
      </c>
      <c r="B137" t="s">
        <v>30</v>
      </c>
      <c r="C137" t="s">
        <v>19</v>
      </c>
      <c r="D137" s="1" t="s">
        <v>39</v>
      </c>
      <c r="E137" t="s">
        <v>20</v>
      </c>
      <c r="F137" t="s">
        <v>21</v>
      </c>
      <c r="G137">
        <v>4258</v>
      </c>
      <c r="H137">
        <v>0</v>
      </c>
      <c r="I137">
        <v>120</v>
      </c>
      <c r="J137">
        <v>360</v>
      </c>
      <c r="K137">
        <v>1</v>
      </c>
      <c r="L137" t="s">
        <v>22</v>
      </c>
      <c r="M137">
        <f>Table2[[#This Row],[ApplicantIncome]]+Table2[[#This Row],[CoapplicantIncome]]</f>
        <v>4258</v>
      </c>
      <c r="N137">
        <f>Table2[[#This Row],[LoanAmount]]/Table2[[#This Row],[Total_Income ]]</f>
        <v>2.8182245185533115E-2</v>
      </c>
      <c r="O137">
        <f>Table2[[#This Row],[LoanAmount]]/Table2[[#This Row],[Loan_Amount_Term]]</f>
        <v>0.33333333333333331</v>
      </c>
      <c r="P137">
        <f>IF(Table2[[#This Row],[Total_Income ]]&gt;=AVERAGE(Table2[[#This Row],[Total_Income ]]),1,0)</f>
        <v>1</v>
      </c>
    </row>
    <row r="138" spans="1:16">
      <c r="A138" t="s">
        <v>163</v>
      </c>
      <c r="B138" t="s">
        <v>18</v>
      </c>
      <c r="C138" t="s">
        <v>19</v>
      </c>
      <c r="D138" s="1">
        <v>0</v>
      </c>
      <c r="E138" t="s">
        <v>20</v>
      </c>
      <c r="F138" t="s">
        <v>19</v>
      </c>
      <c r="G138">
        <v>4500</v>
      </c>
      <c r="H138">
        <v>0</v>
      </c>
      <c r="I138">
        <v>110</v>
      </c>
      <c r="J138">
        <v>360</v>
      </c>
      <c r="K138">
        <v>0</v>
      </c>
      <c r="L138" t="s">
        <v>33</v>
      </c>
      <c r="M138">
        <f>Table2[[#This Row],[ApplicantIncome]]+Table2[[#This Row],[CoapplicantIncome]]</f>
        <v>4500</v>
      </c>
      <c r="N138">
        <f>Table2[[#This Row],[LoanAmount]]/Table2[[#This Row],[Total_Income ]]</f>
        <v>2.4444444444444446E-2</v>
      </c>
      <c r="O138">
        <f>Table2[[#This Row],[LoanAmount]]/Table2[[#This Row],[Loan_Amount_Term]]</f>
        <v>0.30555555555555558</v>
      </c>
      <c r="P138">
        <f>IF(Table2[[#This Row],[Total_Income ]]&gt;=AVERAGE(Table2[[#This Row],[Total_Income ]]),1,0)</f>
        <v>1</v>
      </c>
    </row>
    <row r="139" spans="1:16">
      <c r="A139" t="s">
        <v>164</v>
      </c>
      <c r="B139" t="s">
        <v>18</v>
      </c>
      <c r="C139" t="s">
        <v>19</v>
      </c>
      <c r="D139" s="1" t="s">
        <v>39</v>
      </c>
      <c r="E139" t="s">
        <v>20</v>
      </c>
      <c r="F139" t="s">
        <v>19</v>
      </c>
      <c r="G139">
        <v>2014</v>
      </c>
      <c r="H139">
        <v>2925</v>
      </c>
      <c r="I139">
        <v>103</v>
      </c>
      <c r="J139">
        <v>240</v>
      </c>
      <c r="K139">
        <v>1</v>
      </c>
      <c r="L139" t="s">
        <v>33</v>
      </c>
      <c r="M139">
        <f>Table2[[#This Row],[ApplicantIncome]]+Table2[[#This Row],[CoapplicantIncome]]</f>
        <v>4939</v>
      </c>
      <c r="N139">
        <f>Table2[[#This Row],[LoanAmount]]/Table2[[#This Row],[Total_Income ]]</f>
        <v>2.0854423972464061E-2</v>
      </c>
      <c r="O139">
        <f>Table2[[#This Row],[LoanAmount]]/Table2[[#This Row],[Loan_Amount_Term]]</f>
        <v>0.42916666666666664</v>
      </c>
      <c r="P139">
        <f>IF(Table2[[#This Row],[Total_Income ]]&gt;=AVERAGE(Table2[[#This Row],[Total_Income ]]),1,0)</f>
        <v>1</v>
      </c>
    </row>
    <row r="140" spans="1:16">
      <c r="A140" t="s">
        <v>165</v>
      </c>
      <c r="B140" t="s">
        <v>18</v>
      </c>
      <c r="C140" t="s">
        <v>21</v>
      </c>
      <c r="D140" s="1" t="s">
        <v>39</v>
      </c>
      <c r="E140" t="s">
        <v>20</v>
      </c>
      <c r="F140" t="s">
        <v>21</v>
      </c>
      <c r="G140">
        <v>3333</v>
      </c>
      <c r="H140">
        <v>1250</v>
      </c>
      <c r="I140">
        <v>150</v>
      </c>
      <c r="J140">
        <v>360</v>
      </c>
      <c r="K140">
        <v>1</v>
      </c>
      <c r="L140" t="s">
        <v>31</v>
      </c>
      <c r="M140">
        <f>Table2[[#This Row],[ApplicantIncome]]+Table2[[#This Row],[CoapplicantIncome]]</f>
        <v>4583</v>
      </c>
      <c r="N140">
        <f>Table2[[#This Row],[LoanAmount]]/Table2[[#This Row],[Total_Income ]]</f>
        <v>3.2729653065677503E-2</v>
      </c>
      <c r="O140">
        <f>Table2[[#This Row],[LoanAmount]]/Table2[[#This Row],[Loan_Amount_Term]]</f>
        <v>0.41666666666666669</v>
      </c>
      <c r="P140">
        <f>IF(Table2[[#This Row],[Total_Income ]]&gt;=AVERAGE(Table2[[#This Row],[Total_Income ]]),1,0)</f>
        <v>1</v>
      </c>
    </row>
    <row r="141" spans="1:16">
      <c r="A141" t="s">
        <v>166</v>
      </c>
      <c r="B141" t="s">
        <v>18</v>
      </c>
      <c r="C141" t="s">
        <v>21</v>
      </c>
      <c r="D141" s="1">
        <v>0</v>
      </c>
      <c r="E141" t="s">
        <v>20</v>
      </c>
      <c r="F141" t="s">
        <v>21</v>
      </c>
      <c r="G141">
        <v>4083</v>
      </c>
      <c r="H141">
        <v>0</v>
      </c>
      <c r="I141">
        <v>100</v>
      </c>
      <c r="J141">
        <v>360</v>
      </c>
      <c r="K141">
        <v>1</v>
      </c>
      <c r="L141" t="s">
        <v>31</v>
      </c>
      <c r="M141">
        <f>Table2[[#This Row],[ApplicantIncome]]+Table2[[#This Row],[CoapplicantIncome]]</f>
        <v>4083</v>
      </c>
      <c r="N141">
        <f>Table2[[#This Row],[LoanAmount]]/Table2[[#This Row],[Total_Income ]]</f>
        <v>2.449179524859172E-2</v>
      </c>
      <c r="O141">
        <f>Table2[[#This Row],[LoanAmount]]/Table2[[#This Row],[Loan_Amount_Term]]</f>
        <v>0.27777777777777779</v>
      </c>
      <c r="P141">
        <f>IF(Table2[[#This Row],[Total_Income ]]&gt;=AVERAGE(Table2[[#This Row],[Total_Income ]]),1,0)</f>
        <v>1</v>
      </c>
    </row>
    <row r="142" spans="1:16">
      <c r="A142" t="s">
        <v>167</v>
      </c>
      <c r="B142" t="s">
        <v>18</v>
      </c>
      <c r="C142" t="s">
        <v>21</v>
      </c>
      <c r="D142" s="1">
        <v>2</v>
      </c>
      <c r="E142" t="s">
        <v>20</v>
      </c>
      <c r="F142" t="s">
        <v>19</v>
      </c>
      <c r="G142">
        <v>4727</v>
      </c>
      <c r="H142">
        <v>0</v>
      </c>
      <c r="I142">
        <v>139</v>
      </c>
      <c r="J142">
        <v>12</v>
      </c>
      <c r="K142">
        <v>1</v>
      </c>
      <c r="L142" t="s">
        <v>33</v>
      </c>
      <c r="M142">
        <f>Table2[[#This Row],[ApplicantIncome]]+Table2[[#This Row],[CoapplicantIncome]]</f>
        <v>4727</v>
      </c>
      <c r="N142">
        <f>Table2[[#This Row],[LoanAmount]]/Table2[[#This Row],[Total_Income ]]</f>
        <v>2.9405542627459275E-2</v>
      </c>
      <c r="O142">
        <f>Table2[[#This Row],[LoanAmount]]/Table2[[#This Row],[Loan_Amount_Term]]</f>
        <v>11.583333333333334</v>
      </c>
      <c r="P142">
        <f>IF(Table2[[#This Row],[Total_Income ]]&gt;=AVERAGE(Table2[[#This Row],[Total_Income ]]),1,0)</f>
        <v>1</v>
      </c>
    </row>
    <row r="143" spans="1:16">
      <c r="A143" t="s">
        <v>168</v>
      </c>
      <c r="B143" t="s">
        <v>30</v>
      </c>
      <c r="C143" t="s">
        <v>19</v>
      </c>
      <c r="D143" s="1">
        <v>0</v>
      </c>
      <c r="E143" t="s">
        <v>20</v>
      </c>
      <c r="F143" t="s">
        <v>21</v>
      </c>
      <c r="G143">
        <v>3089</v>
      </c>
      <c r="H143">
        <v>2999</v>
      </c>
      <c r="I143">
        <v>550</v>
      </c>
      <c r="J143">
        <v>300</v>
      </c>
      <c r="K143">
        <v>1</v>
      </c>
      <c r="L143" t="s">
        <v>33</v>
      </c>
      <c r="M143">
        <f>Table2[[#This Row],[ApplicantIncome]]+Table2[[#This Row],[CoapplicantIncome]]</f>
        <v>6088</v>
      </c>
      <c r="N143">
        <f>Table2[[#This Row],[LoanAmount]]/Table2[[#This Row],[Total_Income ]]</f>
        <v>9.0341655716162941E-2</v>
      </c>
      <c r="O143">
        <f>Table2[[#This Row],[LoanAmount]]/Table2[[#This Row],[Loan_Amount_Term]]</f>
        <v>1.8333333333333333</v>
      </c>
      <c r="P143">
        <f>IF(Table2[[#This Row],[Total_Income ]]&gt;=AVERAGE(Table2[[#This Row],[Total_Income ]]),1,0)</f>
        <v>1</v>
      </c>
    </row>
    <row r="144" spans="1:16">
      <c r="A144" t="s">
        <v>169</v>
      </c>
      <c r="B144" t="s">
        <v>18</v>
      </c>
      <c r="C144" t="s">
        <v>19</v>
      </c>
      <c r="D144" s="1">
        <v>0</v>
      </c>
      <c r="E144" t="s">
        <v>27</v>
      </c>
      <c r="F144" t="s">
        <v>21</v>
      </c>
      <c r="G144">
        <v>6794</v>
      </c>
      <c r="H144">
        <v>528</v>
      </c>
      <c r="I144">
        <v>260</v>
      </c>
      <c r="J144">
        <v>360</v>
      </c>
      <c r="K144">
        <v>0</v>
      </c>
      <c r="L144" t="s">
        <v>22</v>
      </c>
      <c r="M144">
        <f>Table2[[#This Row],[ApplicantIncome]]+Table2[[#This Row],[CoapplicantIncome]]</f>
        <v>7322</v>
      </c>
      <c r="N144">
        <f>Table2[[#This Row],[LoanAmount]]/Table2[[#This Row],[Total_Income ]]</f>
        <v>3.5509423654739143E-2</v>
      </c>
      <c r="O144">
        <f>Table2[[#This Row],[LoanAmount]]/Table2[[#This Row],[Loan_Amount_Term]]</f>
        <v>0.72222222222222221</v>
      </c>
      <c r="P144">
        <f>IF(Table2[[#This Row],[Total_Income ]]&gt;=AVERAGE(Table2[[#This Row],[Total_Income ]]),1,0)</f>
        <v>1</v>
      </c>
    </row>
    <row r="145" spans="1:16">
      <c r="A145" t="s">
        <v>170</v>
      </c>
      <c r="B145" t="s">
        <v>18</v>
      </c>
      <c r="C145" t="s">
        <v>19</v>
      </c>
      <c r="D145" s="1">
        <v>0</v>
      </c>
      <c r="E145" t="s">
        <v>20</v>
      </c>
      <c r="F145" t="s">
        <v>21</v>
      </c>
      <c r="G145">
        <v>32000</v>
      </c>
      <c r="H145">
        <v>0</v>
      </c>
      <c r="I145">
        <v>150</v>
      </c>
      <c r="J145">
        <v>360</v>
      </c>
      <c r="K145">
        <v>1</v>
      </c>
      <c r="L145" t="s">
        <v>31</v>
      </c>
      <c r="M145">
        <f>Table2[[#This Row],[ApplicantIncome]]+Table2[[#This Row],[CoapplicantIncome]]</f>
        <v>32000</v>
      </c>
      <c r="N145">
        <f>Table2[[#This Row],[LoanAmount]]/Table2[[#This Row],[Total_Income ]]</f>
        <v>4.6874999999999998E-3</v>
      </c>
      <c r="O145">
        <f>Table2[[#This Row],[LoanAmount]]/Table2[[#This Row],[Loan_Amount_Term]]</f>
        <v>0.41666666666666669</v>
      </c>
      <c r="P145">
        <f>IF(Table2[[#This Row],[Total_Income ]]&gt;=AVERAGE(Table2[[#This Row],[Total_Income ]]),1,0)</f>
        <v>1</v>
      </c>
    </row>
    <row r="146" spans="1:16">
      <c r="A146" t="s">
        <v>171</v>
      </c>
      <c r="B146" t="s">
        <v>18</v>
      </c>
      <c r="C146" t="s">
        <v>19</v>
      </c>
      <c r="D146" s="1">
        <v>1</v>
      </c>
      <c r="E146" t="s">
        <v>20</v>
      </c>
      <c r="F146" t="s">
        <v>21</v>
      </c>
      <c r="G146">
        <v>10890</v>
      </c>
      <c r="H146">
        <v>0</v>
      </c>
      <c r="I146">
        <v>90</v>
      </c>
      <c r="J146">
        <v>360</v>
      </c>
      <c r="K146">
        <v>1</v>
      </c>
      <c r="L146" t="s">
        <v>33</v>
      </c>
      <c r="M146">
        <f>Table2[[#This Row],[ApplicantIncome]]+Table2[[#This Row],[CoapplicantIncome]]</f>
        <v>10890</v>
      </c>
      <c r="N146">
        <f>Table2[[#This Row],[LoanAmount]]/Table2[[#This Row],[Total_Income ]]</f>
        <v>8.2644628099173556E-3</v>
      </c>
      <c r="O146">
        <f>Table2[[#This Row],[LoanAmount]]/Table2[[#This Row],[Loan_Amount_Term]]</f>
        <v>0.25</v>
      </c>
      <c r="P146">
        <f>IF(Table2[[#This Row],[Total_Income ]]&gt;=AVERAGE(Table2[[#This Row],[Total_Income ]]),1,0)</f>
        <v>1</v>
      </c>
    </row>
    <row r="147" spans="1:16">
      <c r="A147" t="s">
        <v>172</v>
      </c>
      <c r="B147" t="s">
        <v>18</v>
      </c>
      <c r="C147" t="s">
        <v>21</v>
      </c>
      <c r="D147" s="1">
        <v>0</v>
      </c>
      <c r="E147" t="s">
        <v>20</v>
      </c>
      <c r="F147" t="s">
        <v>21</v>
      </c>
      <c r="G147">
        <v>12941</v>
      </c>
      <c r="H147">
        <v>0</v>
      </c>
      <c r="I147">
        <v>199</v>
      </c>
      <c r="J147">
        <v>360</v>
      </c>
      <c r="K147">
        <v>1</v>
      </c>
      <c r="L147" t="s">
        <v>22</v>
      </c>
      <c r="M147">
        <f>Table2[[#This Row],[ApplicantIncome]]+Table2[[#This Row],[CoapplicantIncome]]</f>
        <v>12941</v>
      </c>
      <c r="N147">
        <f>Table2[[#This Row],[LoanAmount]]/Table2[[#This Row],[Total_Income ]]</f>
        <v>1.5377482420214821E-2</v>
      </c>
      <c r="O147">
        <f>Table2[[#This Row],[LoanAmount]]/Table2[[#This Row],[Loan_Amount_Term]]</f>
        <v>0.55277777777777781</v>
      </c>
      <c r="P147">
        <f>IF(Table2[[#This Row],[Total_Income ]]&gt;=AVERAGE(Table2[[#This Row],[Total_Income ]]),1,0)</f>
        <v>1</v>
      </c>
    </row>
    <row r="148" spans="1:16">
      <c r="A148" t="s">
        <v>173</v>
      </c>
      <c r="B148" t="s">
        <v>18</v>
      </c>
      <c r="C148" t="s">
        <v>21</v>
      </c>
      <c r="D148" s="1">
        <v>0</v>
      </c>
      <c r="E148" t="s">
        <v>27</v>
      </c>
      <c r="F148" t="s">
        <v>21</v>
      </c>
      <c r="G148">
        <v>3276</v>
      </c>
      <c r="H148">
        <v>0</v>
      </c>
      <c r="I148">
        <v>139</v>
      </c>
      <c r="J148">
        <v>360</v>
      </c>
      <c r="K148">
        <v>1</v>
      </c>
      <c r="L148" t="s">
        <v>31</v>
      </c>
      <c r="M148">
        <f>Table2[[#This Row],[ApplicantIncome]]+Table2[[#This Row],[CoapplicantIncome]]</f>
        <v>3276</v>
      </c>
      <c r="N148">
        <f>Table2[[#This Row],[LoanAmount]]/Table2[[#This Row],[Total_Income ]]</f>
        <v>4.2429792429792432E-2</v>
      </c>
      <c r="O148">
        <f>Table2[[#This Row],[LoanAmount]]/Table2[[#This Row],[Loan_Amount_Term]]</f>
        <v>0.38611111111111113</v>
      </c>
      <c r="P148">
        <f>IF(Table2[[#This Row],[Total_Income ]]&gt;=AVERAGE(Table2[[#This Row],[Total_Income ]]),1,0)</f>
        <v>1</v>
      </c>
    </row>
    <row r="149" spans="1:16">
      <c r="A149" t="s">
        <v>174</v>
      </c>
      <c r="B149" t="s">
        <v>18</v>
      </c>
      <c r="C149" t="s">
        <v>21</v>
      </c>
      <c r="D149" s="1">
        <v>0</v>
      </c>
      <c r="E149" t="s">
        <v>27</v>
      </c>
      <c r="F149" t="s">
        <v>21</v>
      </c>
      <c r="G149">
        <v>8703</v>
      </c>
      <c r="H149">
        <v>0</v>
      </c>
      <c r="I149">
        <v>150</v>
      </c>
      <c r="J149">
        <v>360</v>
      </c>
      <c r="K149">
        <v>1</v>
      </c>
      <c r="L149" t="s">
        <v>33</v>
      </c>
      <c r="M149">
        <f>Table2[[#This Row],[ApplicantIncome]]+Table2[[#This Row],[CoapplicantIncome]]</f>
        <v>8703</v>
      </c>
      <c r="N149">
        <f>Table2[[#This Row],[LoanAmount]]/Table2[[#This Row],[Total_Income ]]</f>
        <v>1.723543605653223E-2</v>
      </c>
      <c r="O149">
        <f>Table2[[#This Row],[LoanAmount]]/Table2[[#This Row],[Loan_Amount_Term]]</f>
        <v>0.41666666666666669</v>
      </c>
      <c r="P149">
        <f>IF(Table2[[#This Row],[Total_Income ]]&gt;=AVERAGE(Table2[[#This Row],[Total_Income ]]),1,0)</f>
        <v>1</v>
      </c>
    </row>
    <row r="150" spans="1:16">
      <c r="A150" t="s">
        <v>175</v>
      </c>
      <c r="B150" t="s">
        <v>18</v>
      </c>
      <c r="C150" t="s">
        <v>19</v>
      </c>
      <c r="D150" s="1">
        <v>0</v>
      </c>
      <c r="E150" t="s">
        <v>20</v>
      </c>
      <c r="F150" t="s">
        <v>19</v>
      </c>
      <c r="G150">
        <v>4742</v>
      </c>
      <c r="H150">
        <v>717</v>
      </c>
      <c r="I150">
        <v>180</v>
      </c>
      <c r="J150">
        <v>360</v>
      </c>
      <c r="K150">
        <v>1</v>
      </c>
      <c r="L150" t="s">
        <v>31</v>
      </c>
      <c r="M150">
        <f>Table2[[#This Row],[ApplicantIncome]]+Table2[[#This Row],[CoapplicantIncome]]</f>
        <v>5459</v>
      </c>
      <c r="N150">
        <f>Table2[[#This Row],[LoanAmount]]/Table2[[#This Row],[Total_Income ]]</f>
        <v>3.2973071991207178E-2</v>
      </c>
      <c r="O150">
        <f>Table2[[#This Row],[LoanAmount]]/Table2[[#This Row],[Loan_Amount_Term]]</f>
        <v>0.5</v>
      </c>
      <c r="P150">
        <f>IF(Table2[[#This Row],[Total_Income ]]&gt;=AVERAGE(Table2[[#This Row],[Total_Income ]]),1,0)</f>
        <v>1</v>
      </c>
    </row>
    <row r="151" spans="1:16">
      <c r="A151" t="s">
        <v>176</v>
      </c>
      <c r="B151" t="s">
        <v>18</v>
      </c>
      <c r="C151" t="s">
        <v>21</v>
      </c>
      <c r="D151" s="1">
        <v>1</v>
      </c>
      <c r="E151" t="s">
        <v>20</v>
      </c>
      <c r="F151" t="s">
        <v>19</v>
      </c>
      <c r="G151">
        <v>5900</v>
      </c>
      <c r="H151">
        <v>0</v>
      </c>
      <c r="I151">
        <v>113</v>
      </c>
      <c r="J151">
        <v>360</v>
      </c>
      <c r="K151">
        <v>1</v>
      </c>
      <c r="L151" t="s">
        <v>22</v>
      </c>
      <c r="M151">
        <f>Table2[[#This Row],[ApplicantIncome]]+Table2[[#This Row],[CoapplicantIncome]]</f>
        <v>5900</v>
      </c>
      <c r="N151">
        <f>Table2[[#This Row],[LoanAmount]]/Table2[[#This Row],[Total_Income ]]</f>
        <v>1.9152542372881356E-2</v>
      </c>
      <c r="O151">
        <f>Table2[[#This Row],[LoanAmount]]/Table2[[#This Row],[Loan_Amount_Term]]</f>
        <v>0.31388888888888888</v>
      </c>
      <c r="P151">
        <f>IF(Table2[[#This Row],[Total_Income ]]&gt;=AVERAGE(Table2[[#This Row],[Total_Income ]]),1,0)</f>
        <v>1</v>
      </c>
    </row>
    <row r="152" spans="1:16">
      <c r="A152" t="s">
        <v>177</v>
      </c>
      <c r="B152" t="s">
        <v>18</v>
      </c>
      <c r="C152" t="s">
        <v>21</v>
      </c>
      <c r="D152" s="1">
        <v>2</v>
      </c>
      <c r="E152" t="s">
        <v>20</v>
      </c>
      <c r="F152" t="s">
        <v>21</v>
      </c>
      <c r="G152">
        <v>3071</v>
      </c>
      <c r="H152">
        <v>4309</v>
      </c>
      <c r="I152">
        <v>148</v>
      </c>
      <c r="J152">
        <v>360</v>
      </c>
      <c r="K152">
        <v>0</v>
      </c>
      <c r="L152" t="s">
        <v>22</v>
      </c>
      <c r="M152">
        <f>Table2[[#This Row],[ApplicantIncome]]+Table2[[#This Row],[CoapplicantIncome]]</f>
        <v>7380</v>
      </c>
      <c r="N152">
        <f>Table2[[#This Row],[LoanAmount]]/Table2[[#This Row],[Total_Income ]]</f>
        <v>2.0054200542005421E-2</v>
      </c>
      <c r="O152">
        <f>Table2[[#This Row],[LoanAmount]]/Table2[[#This Row],[Loan_Amount_Term]]</f>
        <v>0.41111111111111109</v>
      </c>
      <c r="P152">
        <f>IF(Table2[[#This Row],[Total_Income ]]&gt;=AVERAGE(Table2[[#This Row],[Total_Income ]]),1,0)</f>
        <v>1</v>
      </c>
    </row>
    <row r="153" spans="1:16">
      <c r="A153" t="s">
        <v>178</v>
      </c>
      <c r="B153" t="s">
        <v>18</v>
      </c>
      <c r="C153" t="s">
        <v>19</v>
      </c>
      <c r="D153" s="1">
        <v>0</v>
      </c>
      <c r="E153" t="s">
        <v>20</v>
      </c>
      <c r="F153" t="s">
        <v>21</v>
      </c>
      <c r="G153">
        <v>2783</v>
      </c>
      <c r="H153">
        <v>1456</v>
      </c>
      <c r="I153">
        <v>117</v>
      </c>
      <c r="J153">
        <v>300</v>
      </c>
      <c r="K153">
        <v>1</v>
      </c>
      <c r="L153" t="s">
        <v>22</v>
      </c>
      <c r="M153">
        <f>Table2[[#This Row],[ApplicantIncome]]+Table2[[#This Row],[CoapplicantIncome]]</f>
        <v>4239</v>
      </c>
      <c r="N153">
        <f>Table2[[#This Row],[LoanAmount]]/Table2[[#This Row],[Total_Income ]]</f>
        <v>2.7600849256900213E-2</v>
      </c>
      <c r="O153">
        <f>Table2[[#This Row],[LoanAmount]]/Table2[[#This Row],[Loan_Amount_Term]]</f>
        <v>0.39</v>
      </c>
      <c r="P153">
        <f>IF(Table2[[#This Row],[Total_Income ]]&gt;=AVERAGE(Table2[[#This Row],[Total_Income ]]),1,0)</f>
        <v>1</v>
      </c>
    </row>
    <row r="154" spans="1:16">
      <c r="A154" t="s">
        <v>179</v>
      </c>
      <c r="B154" t="s">
        <v>18</v>
      </c>
      <c r="C154" t="s">
        <v>21</v>
      </c>
      <c r="D154" s="1">
        <v>2</v>
      </c>
      <c r="E154" t="s">
        <v>20</v>
      </c>
      <c r="F154" t="s">
        <v>21</v>
      </c>
      <c r="G154">
        <v>5000</v>
      </c>
      <c r="H154">
        <v>0</v>
      </c>
      <c r="I154">
        <v>72</v>
      </c>
      <c r="J154">
        <v>360</v>
      </c>
      <c r="K154">
        <v>1</v>
      </c>
      <c r="L154" t="s">
        <v>33</v>
      </c>
      <c r="M154">
        <f>Table2[[#This Row],[ApplicantIncome]]+Table2[[#This Row],[CoapplicantIncome]]</f>
        <v>5000</v>
      </c>
      <c r="N154">
        <f>Table2[[#This Row],[LoanAmount]]/Table2[[#This Row],[Total_Income ]]</f>
        <v>1.44E-2</v>
      </c>
      <c r="O154">
        <f>Table2[[#This Row],[LoanAmount]]/Table2[[#This Row],[Loan_Amount_Term]]</f>
        <v>0.2</v>
      </c>
      <c r="P154">
        <f>IF(Table2[[#This Row],[Total_Income ]]&gt;=AVERAGE(Table2[[#This Row],[Total_Income ]]),1,0)</f>
        <v>1</v>
      </c>
    </row>
    <row r="155" spans="1:16">
      <c r="A155" t="s">
        <v>180</v>
      </c>
      <c r="B155" t="s">
        <v>18</v>
      </c>
      <c r="C155" t="s">
        <v>19</v>
      </c>
      <c r="D155" s="1">
        <v>0</v>
      </c>
      <c r="E155" t="s">
        <v>27</v>
      </c>
      <c r="F155" t="s">
        <v>21</v>
      </c>
      <c r="G155">
        <v>2463</v>
      </c>
      <c r="H155">
        <v>2360</v>
      </c>
      <c r="I155">
        <v>125</v>
      </c>
      <c r="J155">
        <v>350</v>
      </c>
      <c r="K155">
        <v>0</v>
      </c>
      <c r="L155" t="s">
        <v>22</v>
      </c>
      <c r="M155">
        <f>Table2[[#This Row],[ApplicantIncome]]+Table2[[#This Row],[CoapplicantIncome]]</f>
        <v>4823</v>
      </c>
      <c r="N155">
        <f>Table2[[#This Row],[LoanAmount]]/Table2[[#This Row],[Total_Income ]]</f>
        <v>2.5917478747667425E-2</v>
      </c>
      <c r="O155">
        <f>Table2[[#This Row],[LoanAmount]]/Table2[[#This Row],[Loan_Amount_Term]]</f>
        <v>0.35714285714285715</v>
      </c>
      <c r="P155">
        <f>IF(Table2[[#This Row],[Total_Income ]]&gt;=AVERAGE(Table2[[#This Row],[Total_Income ]]),1,0)</f>
        <v>1</v>
      </c>
    </row>
    <row r="156" spans="1:16">
      <c r="A156" t="s">
        <v>181</v>
      </c>
      <c r="B156" t="s">
        <v>18</v>
      </c>
      <c r="C156" t="s">
        <v>19</v>
      </c>
      <c r="D156" s="1">
        <v>1</v>
      </c>
      <c r="E156" t="s">
        <v>20</v>
      </c>
      <c r="F156" t="s">
        <v>21</v>
      </c>
      <c r="G156">
        <v>4855</v>
      </c>
      <c r="H156">
        <v>0</v>
      </c>
      <c r="I156">
        <v>214</v>
      </c>
      <c r="J156">
        <v>360</v>
      </c>
      <c r="K156">
        <v>0</v>
      </c>
      <c r="L156" t="s">
        <v>33</v>
      </c>
      <c r="M156">
        <f>Table2[[#This Row],[ApplicantIncome]]+Table2[[#This Row],[CoapplicantIncome]]</f>
        <v>4855</v>
      </c>
      <c r="N156">
        <f>Table2[[#This Row],[LoanAmount]]/Table2[[#This Row],[Total_Income ]]</f>
        <v>4.4078269824922758E-2</v>
      </c>
      <c r="O156">
        <f>Table2[[#This Row],[LoanAmount]]/Table2[[#This Row],[Loan_Amount_Term]]</f>
        <v>0.59444444444444444</v>
      </c>
      <c r="P156">
        <f>IF(Table2[[#This Row],[Total_Income ]]&gt;=AVERAGE(Table2[[#This Row],[Total_Income ]]),1,0)</f>
        <v>1</v>
      </c>
    </row>
    <row r="157" spans="1:16">
      <c r="A157" t="s">
        <v>182</v>
      </c>
      <c r="B157" t="s">
        <v>18</v>
      </c>
      <c r="C157" t="s">
        <v>21</v>
      </c>
      <c r="D157" s="1">
        <v>0</v>
      </c>
      <c r="E157" t="s">
        <v>27</v>
      </c>
      <c r="F157" t="s">
        <v>21</v>
      </c>
      <c r="G157">
        <v>1599</v>
      </c>
      <c r="H157">
        <v>2474</v>
      </c>
      <c r="I157">
        <v>133</v>
      </c>
      <c r="J157">
        <v>360</v>
      </c>
      <c r="K157">
        <v>1</v>
      </c>
      <c r="L157" t="s">
        <v>31</v>
      </c>
      <c r="M157">
        <f>Table2[[#This Row],[ApplicantIncome]]+Table2[[#This Row],[CoapplicantIncome]]</f>
        <v>4073</v>
      </c>
      <c r="N157">
        <f>Table2[[#This Row],[LoanAmount]]/Table2[[#This Row],[Total_Income ]]</f>
        <v>3.26540633439725E-2</v>
      </c>
      <c r="O157">
        <f>Table2[[#This Row],[LoanAmount]]/Table2[[#This Row],[Loan_Amount_Term]]</f>
        <v>0.36944444444444446</v>
      </c>
      <c r="P157">
        <f>IF(Table2[[#This Row],[Total_Income ]]&gt;=AVERAGE(Table2[[#This Row],[Total_Income ]]),1,0)</f>
        <v>1</v>
      </c>
    </row>
    <row r="158" spans="1:16">
      <c r="A158" t="s">
        <v>183</v>
      </c>
      <c r="B158" t="s">
        <v>18</v>
      </c>
      <c r="C158" t="s">
        <v>19</v>
      </c>
      <c r="D158" s="1">
        <v>0</v>
      </c>
      <c r="E158" t="s">
        <v>20</v>
      </c>
      <c r="F158" t="s">
        <v>21</v>
      </c>
      <c r="G158">
        <v>4246</v>
      </c>
      <c r="H158">
        <v>4246</v>
      </c>
      <c r="I158">
        <v>187</v>
      </c>
      <c r="J158">
        <v>360</v>
      </c>
      <c r="K158">
        <v>0</v>
      </c>
      <c r="L158" t="s">
        <v>22</v>
      </c>
      <c r="M158">
        <f>Table2[[#This Row],[ApplicantIncome]]+Table2[[#This Row],[CoapplicantIncome]]</f>
        <v>8492</v>
      </c>
      <c r="N158">
        <f>Table2[[#This Row],[LoanAmount]]/Table2[[#This Row],[Total_Income ]]</f>
        <v>2.2020725388601035E-2</v>
      </c>
      <c r="O158">
        <f>Table2[[#This Row],[LoanAmount]]/Table2[[#This Row],[Loan_Amount_Term]]</f>
        <v>0.51944444444444449</v>
      </c>
      <c r="P158">
        <f>IF(Table2[[#This Row],[Total_Income ]]&gt;=AVERAGE(Table2[[#This Row],[Total_Income ]]),1,0)</f>
        <v>1</v>
      </c>
    </row>
    <row r="159" spans="1:16">
      <c r="A159" t="s">
        <v>184</v>
      </c>
      <c r="B159" t="s">
        <v>18</v>
      </c>
      <c r="C159" t="s">
        <v>19</v>
      </c>
      <c r="D159" s="1">
        <v>0</v>
      </c>
      <c r="E159" t="s">
        <v>20</v>
      </c>
      <c r="F159" t="s">
        <v>21</v>
      </c>
      <c r="G159">
        <v>4333</v>
      </c>
      <c r="H159">
        <v>2291</v>
      </c>
      <c r="I159">
        <v>143</v>
      </c>
      <c r="J159">
        <v>360</v>
      </c>
      <c r="K159">
        <v>1</v>
      </c>
      <c r="L159" t="s">
        <v>33</v>
      </c>
      <c r="M159">
        <f>Table2[[#This Row],[ApplicantIncome]]+Table2[[#This Row],[CoapplicantIncome]]</f>
        <v>6624</v>
      </c>
      <c r="N159">
        <f>Table2[[#This Row],[LoanAmount]]/Table2[[#This Row],[Total_Income ]]</f>
        <v>2.1588164251207728E-2</v>
      </c>
      <c r="O159">
        <f>Table2[[#This Row],[LoanAmount]]/Table2[[#This Row],[Loan_Amount_Term]]</f>
        <v>0.3972222222222222</v>
      </c>
      <c r="P159">
        <f>IF(Table2[[#This Row],[Total_Income ]]&gt;=AVERAGE(Table2[[#This Row],[Total_Income ]]),1,0)</f>
        <v>1</v>
      </c>
    </row>
    <row r="160" spans="1:16">
      <c r="A160" t="s">
        <v>185</v>
      </c>
      <c r="B160" t="s">
        <v>18</v>
      </c>
      <c r="C160" t="s">
        <v>21</v>
      </c>
      <c r="D160" s="1">
        <v>0</v>
      </c>
      <c r="E160" t="s">
        <v>20</v>
      </c>
      <c r="F160" t="s">
        <v>21</v>
      </c>
      <c r="G160">
        <v>5823</v>
      </c>
      <c r="H160">
        <v>2529</v>
      </c>
      <c r="I160">
        <v>209</v>
      </c>
      <c r="J160">
        <v>360</v>
      </c>
      <c r="K160">
        <v>1</v>
      </c>
      <c r="L160" t="s">
        <v>31</v>
      </c>
      <c r="M160">
        <f>Table2[[#This Row],[ApplicantIncome]]+Table2[[#This Row],[CoapplicantIncome]]</f>
        <v>8352</v>
      </c>
      <c r="N160">
        <f>Table2[[#This Row],[LoanAmount]]/Table2[[#This Row],[Total_Income ]]</f>
        <v>2.5023946360153256E-2</v>
      </c>
      <c r="O160">
        <f>Table2[[#This Row],[LoanAmount]]/Table2[[#This Row],[Loan_Amount_Term]]</f>
        <v>0.5805555555555556</v>
      </c>
      <c r="P160">
        <f>IF(Table2[[#This Row],[Total_Income ]]&gt;=AVERAGE(Table2[[#This Row],[Total_Income ]]),1,0)</f>
        <v>1</v>
      </c>
    </row>
    <row r="161" spans="1:16">
      <c r="A161" t="s">
        <v>186</v>
      </c>
      <c r="B161" t="s">
        <v>30</v>
      </c>
      <c r="C161" t="s">
        <v>19</v>
      </c>
      <c r="D161" s="1">
        <v>0</v>
      </c>
      <c r="E161" t="s">
        <v>27</v>
      </c>
      <c r="F161" t="s">
        <v>21</v>
      </c>
      <c r="G161">
        <v>7895</v>
      </c>
      <c r="H161">
        <v>0</v>
      </c>
      <c r="I161">
        <v>84</v>
      </c>
      <c r="J161">
        <v>360</v>
      </c>
      <c r="K161">
        <v>1</v>
      </c>
      <c r="L161" t="s">
        <v>33</v>
      </c>
      <c r="M161">
        <f>Table2[[#This Row],[ApplicantIncome]]+Table2[[#This Row],[CoapplicantIncome]]</f>
        <v>7895</v>
      </c>
      <c r="N161">
        <f>Table2[[#This Row],[LoanAmount]]/Table2[[#This Row],[Total_Income ]]</f>
        <v>1.0639645345155161E-2</v>
      </c>
      <c r="O161">
        <f>Table2[[#This Row],[LoanAmount]]/Table2[[#This Row],[Loan_Amount_Term]]</f>
        <v>0.23333333333333334</v>
      </c>
      <c r="P161">
        <f>IF(Table2[[#This Row],[Total_Income ]]&gt;=AVERAGE(Table2[[#This Row],[Total_Income ]]),1,0)</f>
        <v>1</v>
      </c>
    </row>
    <row r="162" spans="1:16">
      <c r="A162" t="s">
        <v>187</v>
      </c>
      <c r="B162" t="s">
        <v>18</v>
      </c>
      <c r="C162" t="s">
        <v>21</v>
      </c>
      <c r="D162" s="1">
        <v>1</v>
      </c>
      <c r="E162" t="s">
        <v>20</v>
      </c>
      <c r="F162" t="s">
        <v>21</v>
      </c>
      <c r="G162">
        <v>4150</v>
      </c>
      <c r="H162">
        <v>4256</v>
      </c>
      <c r="I162">
        <v>116</v>
      </c>
      <c r="J162">
        <v>240</v>
      </c>
      <c r="K162">
        <v>1</v>
      </c>
      <c r="L162" t="s">
        <v>33</v>
      </c>
      <c r="M162">
        <f>Table2[[#This Row],[ApplicantIncome]]+Table2[[#This Row],[CoapplicantIncome]]</f>
        <v>8406</v>
      </c>
      <c r="N162">
        <f>Table2[[#This Row],[LoanAmount]]/Table2[[#This Row],[Total_Income ]]</f>
        <v>1.3799666904591957E-2</v>
      </c>
      <c r="O162">
        <f>Table2[[#This Row],[LoanAmount]]/Table2[[#This Row],[Loan_Amount_Term]]</f>
        <v>0.48333333333333334</v>
      </c>
      <c r="P162">
        <f>IF(Table2[[#This Row],[Total_Income ]]&gt;=AVERAGE(Table2[[#This Row],[Total_Income ]]),1,0)</f>
        <v>1</v>
      </c>
    </row>
    <row r="163" spans="1:16">
      <c r="A163" t="s">
        <v>188</v>
      </c>
      <c r="B163" t="s">
        <v>18</v>
      </c>
      <c r="C163" t="s">
        <v>21</v>
      </c>
      <c r="D163" s="1">
        <v>0</v>
      </c>
      <c r="E163" t="s">
        <v>20</v>
      </c>
      <c r="F163" t="s">
        <v>21</v>
      </c>
      <c r="G163">
        <v>2964</v>
      </c>
      <c r="H163">
        <v>0</v>
      </c>
      <c r="I163">
        <v>65</v>
      </c>
      <c r="J163">
        <v>360</v>
      </c>
      <c r="K163">
        <v>0</v>
      </c>
      <c r="L163" t="s">
        <v>31</v>
      </c>
      <c r="M163">
        <f>Table2[[#This Row],[ApplicantIncome]]+Table2[[#This Row],[CoapplicantIncome]]</f>
        <v>2964</v>
      </c>
      <c r="N163">
        <f>Table2[[#This Row],[LoanAmount]]/Table2[[#This Row],[Total_Income ]]</f>
        <v>2.1929824561403508E-2</v>
      </c>
      <c r="O163">
        <f>Table2[[#This Row],[LoanAmount]]/Table2[[#This Row],[Loan_Amount_Term]]</f>
        <v>0.18055555555555555</v>
      </c>
      <c r="P163">
        <f>IF(Table2[[#This Row],[Total_Income ]]&gt;=AVERAGE(Table2[[#This Row],[Total_Income ]]),1,0)</f>
        <v>1</v>
      </c>
    </row>
    <row r="164" spans="1:16">
      <c r="A164" t="s">
        <v>189</v>
      </c>
      <c r="B164" t="s">
        <v>18</v>
      </c>
      <c r="C164" t="s">
        <v>21</v>
      </c>
      <c r="D164" s="1">
        <v>2</v>
      </c>
      <c r="E164" t="s">
        <v>20</v>
      </c>
      <c r="F164" t="s">
        <v>21</v>
      </c>
      <c r="G164">
        <v>5583</v>
      </c>
      <c r="H164">
        <v>0</v>
      </c>
      <c r="I164">
        <v>80</v>
      </c>
      <c r="J164">
        <v>360</v>
      </c>
      <c r="K164">
        <v>0</v>
      </c>
      <c r="L164" t="s">
        <v>22</v>
      </c>
      <c r="M164">
        <f>Table2[[#This Row],[ApplicantIncome]]+Table2[[#This Row],[CoapplicantIncome]]</f>
        <v>5583</v>
      </c>
      <c r="N164">
        <f>Table2[[#This Row],[LoanAmount]]/Table2[[#This Row],[Total_Income ]]</f>
        <v>1.4329213684399069E-2</v>
      </c>
      <c r="O164">
        <f>Table2[[#This Row],[LoanAmount]]/Table2[[#This Row],[Loan_Amount_Term]]</f>
        <v>0.22222222222222221</v>
      </c>
      <c r="P164">
        <f>IF(Table2[[#This Row],[Total_Income ]]&gt;=AVERAGE(Table2[[#This Row],[Total_Income ]]),1,0)</f>
        <v>1</v>
      </c>
    </row>
    <row r="165" spans="1:16">
      <c r="A165" t="s">
        <v>190</v>
      </c>
      <c r="B165" t="s">
        <v>18</v>
      </c>
      <c r="C165" t="s">
        <v>21</v>
      </c>
      <c r="D165" s="1">
        <v>0</v>
      </c>
      <c r="E165" t="s">
        <v>20</v>
      </c>
      <c r="F165" t="s">
        <v>21</v>
      </c>
      <c r="G165">
        <v>2708</v>
      </c>
      <c r="H165">
        <v>0</v>
      </c>
      <c r="I165">
        <v>170</v>
      </c>
      <c r="J165">
        <v>360</v>
      </c>
      <c r="K165">
        <v>1</v>
      </c>
      <c r="L165" t="s">
        <v>33</v>
      </c>
      <c r="M165">
        <f>Table2[[#This Row],[ApplicantIncome]]+Table2[[#This Row],[CoapplicantIncome]]</f>
        <v>2708</v>
      </c>
      <c r="N165">
        <f>Table2[[#This Row],[LoanAmount]]/Table2[[#This Row],[Total_Income ]]</f>
        <v>6.2776957163958647E-2</v>
      </c>
      <c r="O165">
        <f>Table2[[#This Row],[LoanAmount]]/Table2[[#This Row],[Loan_Amount_Term]]</f>
        <v>0.47222222222222221</v>
      </c>
      <c r="P165">
        <f>IF(Table2[[#This Row],[Total_Income ]]&gt;=AVERAGE(Table2[[#This Row],[Total_Income ]]),1,0)</f>
        <v>1</v>
      </c>
    </row>
    <row r="166" spans="1:16">
      <c r="A166" t="s">
        <v>191</v>
      </c>
      <c r="B166" t="s">
        <v>30</v>
      </c>
      <c r="C166" t="s">
        <v>21</v>
      </c>
      <c r="D166" s="1" t="s">
        <v>39</v>
      </c>
      <c r="E166" t="s">
        <v>20</v>
      </c>
      <c r="F166" t="s">
        <v>21</v>
      </c>
      <c r="G166">
        <v>3180</v>
      </c>
      <c r="H166">
        <v>2370</v>
      </c>
      <c r="I166">
        <v>120</v>
      </c>
      <c r="J166">
        <v>360</v>
      </c>
      <c r="K166">
        <v>1</v>
      </c>
      <c r="L166" t="s">
        <v>33</v>
      </c>
      <c r="M166">
        <f>Table2[[#This Row],[ApplicantIncome]]+Table2[[#This Row],[CoapplicantIncome]]</f>
        <v>5550</v>
      </c>
      <c r="N166">
        <f>Table2[[#This Row],[LoanAmount]]/Table2[[#This Row],[Total_Income ]]</f>
        <v>2.1621621621621623E-2</v>
      </c>
      <c r="O166">
        <f>Table2[[#This Row],[LoanAmount]]/Table2[[#This Row],[Loan_Amount_Term]]</f>
        <v>0.33333333333333331</v>
      </c>
      <c r="P166">
        <f>IF(Table2[[#This Row],[Total_Income ]]&gt;=AVERAGE(Table2[[#This Row],[Total_Income ]]),1,0)</f>
        <v>1</v>
      </c>
    </row>
    <row r="167" spans="1:16">
      <c r="A167" t="s">
        <v>192</v>
      </c>
      <c r="B167" t="s">
        <v>30</v>
      </c>
      <c r="C167" t="s">
        <v>21</v>
      </c>
      <c r="D167" s="1">
        <v>1</v>
      </c>
      <c r="E167" t="s">
        <v>27</v>
      </c>
      <c r="F167" t="s">
        <v>21</v>
      </c>
      <c r="G167">
        <v>2268</v>
      </c>
      <c r="H167">
        <v>0</v>
      </c>
      <c r="I167">
        <v>135</v>
      </c>
      <c r="J167">
        <v>360</v>
      </c>
      <c r="K167">
        <v>1</v>
      </c>
      <c r="L167" t="s">
        <v>31</v>
      </c>
      <c r="M167">
        <f>Table2[[#This Row],[ApplicantIncome]]+Table2[[#This Row],[CoapplicantIncome]]</f>
        <v>2268</v>
      </c>
      <c r="N167">
        <f>Table2[[#This Row],[LoanAmount]]/Table2[[#This Row],[Total_Income ]]</f>
        <v>5.9523809523809521E-2</v>
      </c>
      <c r="O167">
        <f>Table2[[#This Row],[LoanAmount]]/Table2[[#This Row],[Loan_Amount_Term]]</f>
        <v>0.375</v>
      </c>
      <c r="P167">
        <f>IF(Table2[[#This Row],[Total_Income ]]&gt;=AVERAGE(Table2[[#This Row],[Total_Income ]]),1,0)</f>
        <v>1</v>
      </c>
    </row>
    <row r="168" spans="1:16">
      <c r="A168" t="s">
        <v>193</v>
      </c>
      <c r="B168" t="s">
        <v>30</v>
      </c>
      <c r="C168" t="s">
        <v>21</v>
      </c>
      <c r="D168" s="1">
        <v>0</v>
      </c>
      <c r="E168" t="s">
        <v>27</v>
      </c>
      <c r="F168" t="s">
        <v>21</v>
      </c>
      <c r="G168">
        <v>1141</v>
      </c>
      <c r="H168">
        <v>2017</v>
      </c>
      <c r="I168">
        <v>94</v>
      </c>
      <c r="J168">
        <v>360</v>
      </c>
      <c r="K168">
        <v>1</v>
      </c>
      <c r="L168" t="s">
        <v>22</v>
      </c>
      <c r="M168">
        <f>Table2[[#This Row],[ApplicantIncome]]+Table2[[#This Row],[CoapplicantIncome]]</f>
        <v>3158</v>
      </c>
      <c r="N168">
        <f>Table2[[#This Row],[LoanAmount]]/Table2[[#This Row],[Total_Income ]]</f>
        <v>2.9765674477517417E-2</v>
      </c>
      <c r="O168">
        <f>Table2[[#This Row],[LoanAmount]]/Table2[[#This Row],[Loan_Amount_Term]]</f>
        <v>0.26111111111111113</v>
      </c>
      <c r="P168">
        <f>IF(Table2[[#This Row],[Total_Income ]]&gt;=AVERAGE(Table2[[#This Row],[Total_Income ]]),1,0)</f>
        <v>1</v>
      </c>
    </row>
    <row r="169" spans="1:16">
      <c r="A169" t="s">
        <v>194</v>
      </c>
      <c r="B169" t="s">
        <v>18</v>
      </c>
      <c r="C169" t="s">
        <v>19</v>
      </c>
      <c r="D169" s="1">
        <v>2</v>
      </c>
      <c r="E169" t="s">
        <v>20</v>
      </c>
      <c r="F169" t="s">
        <v>21</v>
      </c>
      <c r="G169">
        <v>3042</v>
      </c>
      <c r="H169">
        <v>3167</v>
      </c>
      <c r="I169">
        <v>79</v>
      </c>
      <c r="J169">
        <v>360</v>
      </c>
      <c r="K169">
        <v>1</v>
      </c>
      <c r="L169" t="s">
        <v>22</v>
      </c>
      <c r="M169">
        <f>Table2[[#This Row],[ApplicantIncome]]+Table2[[#This Row],[CoapplicantIncome]]</f>
        <v>6209</v>
      </c>
      <c r="N169">
        <f>Table2[[#This Row],[LoanAmount]]/Table2[[#This Row],[Total_Income ]]</f>
        <v>1.2723465936543726E-2</v>
      </c>
      <c r="O169">
        <f>Table2[[#This Row],[LoanAmount]]/Table2[[#This Row],[Loan_Amount_Term]]</f>
        <v>0.21944444444444444</v>
      </c>
      <c r="P169">
        <f>IF(Table2[[#This Row],[Total_Income ]]&gt;=AVERAGE(Table2[[#This Row],[Total_Income ]]),1,0)</f>
        <v>1</v>
      </c>
    </row>
    <row r="170" spans="1:16">
      <c r="A170" t="s">
        <v>195</v>
      </c>
      <c r="B170" t="s">
        <v>18</v>
      </c>
      <c r="C170" t="s">
        <v>19</v>
      </c>
      <c r="D170" s="1">
        <v>0</v>
      </c>
      <c r="E170" t="s">
        <v>20</v>
      </c>
      <c r="F170" t="s">
        <v>21</v>
      </c>
      <c r="G170">
        <v>1750</v>
      </c>
      <c r="H170">
        <v>2935</v>
      </c>
      <c r="I170">
        <v>110</v>
      </c>
      <c r="J170">
        <v>360</v>
      </c>
      <c r="K170">
        <v>1</v>
      </c>
      <c r="L170" t="s">
        <v>31</v>
      </c>
      <c r="M170">
        <f>Table2[[#This Row],[ApplicantIncome]]+Table2[[#This Row],[CoapplicantIncome]]</f>
        <v>4685</v>
      </c>
      <c r="N170">
        <f>Table2[[#This Row],[LoanAmount]]/Table2[[#This Row],[Total_Income ]]</f>
        <v>2.3479188900747065E-2</v>
      </c>
      <c r="O170">
        <f>Table2[[#This Row],[LoanAmount]]/Table2[[#This Row],[Loan_Amount_Term]]</f>
        <v>0.30555555555555558</v>
      </c>
      <c r="P170">
        <f>IF(Table2[[#This Row],[Total_Income ]]&gt;=AVERAGE(Table2[[#This Row],[Total_Income ]]),1,0)</f>
        <v>1</v>
      </c>
    </row>
    <row r="171" spans="1:16">
      <c r="A171" t="s">
        <v>196</v>
      </c>
      <c r="B171" t="s">
        <v>18</v>
      </c>
      <c r="C171" t="s">
        <v>19</v>
      </c>
      <c r="D171" s="1">
        <v>0</v>
      </c>
      <c r="E171" t="s">
        <v>20</v>
      </c>
      <c r="F171" t="s">
        <v>21</v>
      </c>
      <c r="G171">
        <v>3564</v>
      </c>
      <c r="H171">
        <v>0</v>
      </c>
      <c r="I171">
        <v>130</v>
      </c>
      <c r="J171">
        <v>180</v>
      </c>
      <c r="K171">
        <v>1</v>
      </c>
      <c r="L171" t="s">
        <v>33</v>
      </c>
      <c r="M171">
        <f>Table2[[#This Row],[ApplicantIncome]]+Table2[[#This Row],[CoapplicantIncome]]</f>
        <v>3564</v>
      </c>
      <c r="N171">
        <f>Table2[[#This Row],[LoanAmount]]/Table2[[#This Row],[Total_Income ]]</f>
        <v>3.6475869809203143E-2</v>
      </c>
      <c r="O171">
        <f>Table2[[#This Row],[LoanAmount]]/Table2[[#This Row],[Loan_Amount_Term]]</f>
        <v>0.72222222222222221</v>
      </c>
      <c r="P171">
        <f>IF(Table2[[#This Row],[Total_Income ]]&gt;=AVERAGE(Table2[[#This Row],[Total_Income ]]),1,0)</f>
        <v>1</v>
      </c>
    </row>
    <row r="172" spans="1:16">
      <c r="A172" t="s">
        <v>197</v>
      </c>
      <c r="B172" t="s">
        <v>18</v>
      </c>
      <c r="C172" t="s">
        <v>21</v>
      </c>
      <c r="D172" s="1">
        <v>0</v>
      </c>
      <c r="E172" t="s">
        <v>20</v>
      </c>
      <c r="F172" t="s">
        <v>21</v>
      </c>
      <c r="G172">
        <v>3958</v>
      </c>
      <c r="H172">
        <v>0</v>
      </c>
      <c r="I172">
        <v>143</v>
      </c>
      <c r="J172">
        <v>360</v>
      </c>
      <c r="K172">
        <v>1</v>
      </c>
      <c r="L172" t="s">
        <v>33</v>
      </c>
      <c r="M172">
        <f>Table2[[#This Row],[ApplicantIncome]]+Table2[[#This Row],[CoapplicantIncome]]</f>
        <v>3958</v>
      </c>
      <c r="N172">
        <f>Table2[[#This Row],[LoanAmount]]/Table2[[#This Row],[Total_Income ]]</f>
        <v>3.6129358261748359E-2</v>
      </c>
      <c r="O172">
        <f>Table2[[#This Row],[LoanAmount]]/Table2[[#This Row],[Loan_Amount_Term]]</f>
        <v>0.3972222222222222</v>
      </c>
      <c r="P172">
        <f>IF(Table2[[#This Row],[Total_Income ]]&gt;=AVERAGE(Table2[[#This Row],[Total_Income ]]),1,0)</f>
        <v>1</v>
      </c>
    </row>
    <row r="173" spans="1:16">
      <c r="A173" t="s">
        <v>198</v>
      </c>
      <c r="B173" t="s">
        <v>18</v>
      </c>
      <c r="C173" t="s">
        <v>19</v>
      </c>
      <c r="D173" s="1">
        <v>2</v>
      </c>
      <c r="E173" t="s">
        <v>27</v>
      </c>
      <c r="F173" t="s">
        <v>21</v>
      </c>
      <c r="G173">
        <v>4483</v>
      </c>
      <c r="H173">
        <v>0</v>
      </c>
      <c r="I173">
        <v>159</v>
      </c>
      <c r="J173">
        <v>360</v>
      </c>
      <c r="K173">
        <v>1</v>
      </c>
      <c r="L173" t="s">
        <v>33</v>
      </c>
      <c r="M173">
        <f>Table2[[#This Row],[ApplicantIncome]]+Table2[[#This Row],[CoapplicantIncome]]</f>
        <v>4483</v>
      </c>
      <c r="N173">
        <f>Table2[[#This Row],[LoanAmount]]/Table2[[#This Row],[Total_Income ]]</f>
        <v>3.546732099040821E-2</v>
      </c>
      <c r="O173">
        <f>Table2[[#This Row],[LoanAmount]]/Table2[[#This Row],[Loan_Amount_Term]]</f>
        <v>0.44166666666666665</v>
      </c>
      <c r="P173">
        <f>IF(Table2[[#This Row],[Total_Income ]]&gt;=AVERAGE(Table2[[#This Row],[Total_Income ]]),1,0)</f>
        <v>1</v>
      </c>
    </row>
    <row r="174" spans="1:16">
      <c r="A174" t="s">
        <v>199</v>
      </c>
      <c r="B174" t="s">
        <v>18</v>
      </c>
      <c r="C174" t="s">
        <v>19</v>
      </c>
      <c r="D174" s="1">
        <v>2</v>
      </c>
      <c r="E174" t="s">
        <v>20</v>
      </c>
      <c r="F174" t="s">
        <v>21</v>
      </c>
      <c r="G174">
        <v>5225</v>
      </c>
      <c r="H174">
        <v>0</v>
      </c>
      <c r="I174">
        <v>110</v>
      </c>
      <c r="J174">
        <v>360</v>
      </c>
      <c r="K174">
        <v>1</v>
      </c>
      <c r="L174" t="s">
        <v>33</v>
      </c>
      <c r="M174">
        <f>Table2[[#This Row],[ApplicantIncome]]+Table2[[#This Row],[CoapplicantIncome]]</f>
        <v>5225</v>
      </c>
      <c r="N174">
        <f>Table2[[#This Row],[LoanAmount]]/Table2[[#This Row],[Total_Income ]]</f>
        <v>2.1052631578947368E-2</v>
      </c>
      <c r="O174">
        <f>Table2[[#This Row],[LoanAmount]]/Table2[[#This Row],[Loan_Amount_Term]]</f>
        <v>0.30555555555555558</v>
      </c>
      <c r="P174">
        <f>IF(Table2[[#This Row],[Total_Income ]]&gt;=AVERAGE(Table2[[#This Row],[Total_Income ]]),1,0)</f>
        <v>1</v>
      </c>
    </row>
    <row r="175" spans="1:16">
      <c r="A175" t="s">
        <v>200</v>
      </c>
      <c r="B175" t="s">
        <v>30</v>
      </c>
      <c r="C175" t="s">
        <v>21</v>
      </c>
      <c r="D175" s="1">
        <v>0</v>
      </c>
      <c r="E175" t="s">
        <v>20</v>
      </c>
      <c r="F175" t="s">
        <v>21</v>
      </c>
      <c r="G175">
        <v>3017</v>
      </c>
      <c r="H175">
        <v>2845</v>
      </c>
      <c r="I175">
        <v>160</v>
      </c>
      <c r="J175">
        <v>360</v>
      </c>
      <c r="K175">
        <v>1</v>
      </c>
      <c r="L175" t="s">
        <v>22</v>
      </c>
      <c r="M175">
        <f>Table2[[#This Row],[ApplicantIncome]]+Table2[[#This Row],[CoapplicantIncome]]</f>
        <v>5862</v>
      </c>
      <c r="N175">
        <f>Table2[[#This Row],[LoanAmount]]/Table2[[#This Row],[Total_Income ]]</f>
        <v>2.7294438758103036E-2</v>
      </c>
      <c r="O175">
        <f>Table2[[#This Row],[LoanAmount]]/Table2[[#This Row],[Loan_Amount_Term]]</f>
        <v>0.44444444444444442</v>
      </c>
      <c r="P175">
        <f>IF(Table2[[#This Row],[Total_Income ]]&gt;=AVERAGE(Table2[[#This Row],[Total_Income ]]),1,0)</f>
        <v>1</v>
      </c>
    </row>
    <row r="176" spans="1:16">
      <c r="A176" t="s">
        <v>201</v>
      </c>
      <c r="B176" t="s">
        <v>18</v>
      </c>
      <c r="C176" t="s">
        <v>19</v>
      </c>
      <c r="D176" s="1">
        <v>2</v>
      </c>
      <c r="E176" t="s">
        <v>27</v>
      </c>
      <c r="F176" t="s">
        <v>21</v>
      </c>
      <c r="G176">
        <v>2431</v>
      </c>
      <c r="H176">
        <v>1820</v>
      </c>
      <c r="I176">
        <v>131</v>
      </c>
      <c r="J176">
        <v>360</v>
      </c>
      <c r="K176">
        <v>1</v>
      </c>
      <c r="L176" t="s">
        <v>33</v>
      </c>
      <c r="M176">
        <f>Table2[[#This Row],[ApplicantIncome]]+Table2[[#This Row],[CoapplicantIncome]]</f>
        <v>4251</v>
      </c>
      <c r="N176">
        <f>Table2[[#This Row],[LoanAmount]]/Table2[[#This Row],[Total_Income ]]</f>
        <v>3.0816278522700542E-2</v>
      </c>
      <c r="O176">
        <f>Table2[[#This Row],[LoanAmount]]/Table2[[#This Row],[Loan_Amount_Term]]</f>
        <v>0.36388888888888887</v>
      </c>
      <c r="P176">
        <f>IF(Table2[[#This Row],[Total_Income ]]&gt;=AVERAGE(Table2[[#This Row],[Total_Income ]]),1,0)</f>
        <v>1</v>
      </c>
    </row>
    <row r="177" spans="1:16">
      <c r="A177" t="s">
        <v>202</v>
      </c>
      <c r="B177" t="s">
        <v>18</v>
      </c>
      <c r="C177" t="s">
        <v>19</v>
      </c>
      <c r="D177" s="1" t="s">
        <v>39</v>
      </c>
      <c r="E177" t="s">
        <v>20</v>
      </c>
      <c r="F177" t="s">
        <v>21</v>
      </c>
      <c r="G177">
        <v>4912</v>
      </c>
      <c r="H177">
        <v>4614</v>
      </c>
      <c r="I177">
        <v>65</v>
      </c>
      <c r="J177">
        <v>360</v>
      </c>
      <c r="K177">
        <v>1</v>
      </c>
      <c r="L177" t="s">
        <v>33</v>
      </c>
      <c r="M177">
        <f>Table2[[#This Row],[ApplicantIncome]]+Table2[[#This Row],[CoapplicantIncome]]</f>
        <v>9526</v>
      </c>
      <c r="N177">
        <f>Table2[[#This Row],[LoanAmount]]/Table2[[#This Row],[Total_Income ]]</f>
        <v>6.8234306109594793E-3</v>
      </c>
      <c r="O177">
        <f>Table2[[#This Row],[LoanAmount]]/Table2[[#This Row],[Loan_Amount_Term]]</f>
        <v>0.18055555555555555</v>
      </c>
      <c r="P177">
        <f>IF(Table2[[#This Row],[Total_Income ]]&gt;=AVERAGE(Table2[[#This Row],[Total_Income ]]),1,0)</f>
        <v>1</v>
      </c>
    </row>
    <row r="178" spans="1:16">
      <c r="A178" t="s">
        <v>203</v>
      </c>
      <c r="B178" t="s">
        <v>18</v>
      </c>
      <c r="C178" t="s">
        <v>19</v>
      </c>
      <c r="D178" s="1">
        <v>2</v>
      </c>
      <c r="E178" t="s">
        <v>27</v>
      </c>
      <c r="F178" t="s">
        <v>21</v>
      </c>
      <c r="G178">
        <v>2500</v>
      </c>
      <c r="H178">
        <v>3333</v>
      </c>
      <c r="I178">
        <v>143</v>
      </c>
      <c r="J178">
        <v>360</v>
      </c>
      <c r="K178">
        <v>1</v>
      </c>
      <c r="L178" t="s">
        <v>22</v>
      </c>
      <c r="M178">
        <f>Table2[[#This Row],[ApplicantIncome]]+Table2[[#This Row],[CoapplicantIncome]]</f>
        <v>5833</v>
      </c>
      <c r="N178">
        <f>Table2[[#This Row],[LoanAmount]]/Table2[[#This Row],[Total_Income ]]</f>
        <v>2.4515686610663466E-2</v>
      </c>
      <c r="O178">
        <f>Table2[[#This Row],[LoanAmount]]/Table2[[#This Row],[Loan_Amount_Term]]</f>
        <v>0.3972222222222222</v>
      </c>
      <c r="P178">
        <f>IF(Table2[[#This Row],[Total_Income ]]&gt;=AVERAGE(Table2[[#This Row],[Total_Income ]]),1,0)</f>
        <v>1</v>
      </c>
    </row>
    <row r="179" spans="1:16">
      <c r="A179" t="s">
        <v>204</v>
      </c>
      <c r="B179" t="s">
        <v>18</v>
      </c>
      <c r="C179" t="s">
        <v>21</v>
      </c>
      <c r="D179" s="1">
        <v>0</v>
      </c>
      <c r="E179" t="s">
        <v>20</v>
      </c>
      <c r="F179" t="s">
        <v>21</v>
      </c>
      <c r="G179">
        <v>2918</v>
      </c>
      <c r="H179">
        <v>0</v>
      </c>
      <c r="I179">
        <v>187</v>
      </c>
      <c r="J179">
        <v>360</v>
      </c>
      <c r="K179">
        <v>0</v>
      </c>
      <c r="L179" t="s">
        <v>33</v>
      </c>
      <c r="M179">
        <f>Table2[[#This Row],[ApplicantIncome]]+Table2[[#This Row],[CoapplicantIncome]]</f>
        <v>2918</v>
      </c>
      <c r="N179">
        <f>Table2[[#This Row],[LoanAmount]]/Table2[[#This Row],[Total_Income ]]</f>
        <v>6.4084989718985602E-2</v>
      </c>
      <c r="O179">
        <f>Table2[[#This Row],[LoanAmount]]/Table2[[#This Row],[Loan_Amount_Term]]</f>
        <v>0.51944444444444449</v>
      </c>
      <c r="P179">
        <f>IF(Table2[[#This Row],[Total_Income ]]&gt;=AVERAGE(Table2[[#This Row],[Total_Income ]]),1,0)</f>
        <v>1</v>
      </c>
    </row>
    <row r="180" spans="1:16">
      <c r="A180" t="s">
        <v>205</v>
      </c>
      <c r="B180" t="s">
        <v>18</v>
      </c>
      <c r="C180" t="s">
        <v>19</v>
      </c>
      <c r="D180" s="1">
        <v>2</v>
      </c>
      <c r="E180" t="s">
        <v>20</v>
      </c>
      <c r="F180" t="s">
        <v>21</v>
      </c>
      <c r="G180">
        <v>5128</v>
      </c>
      <c r="H180">
        <v>0</v>
      </c>
      <c r="I180">
        <v>160</v>
      </c>
      <c r="J180">
        <v>360</v>
      </c>
      <c r="K180">
        <v>0</v>
      </c>
      <c r="L180" t="s">
        <v>33</v>
      </c>
      <c r="M180">
        <f>Table2[[#This Row],[ApplicantIncome]]+Table2[[#This Row],[CoapplicantIncome]]</f>
        <v>5128</v>
      </c>
      <c r="N180">
        <f>Table2[[#This Row],[LoanAmount]]/Table2[[#This Row],[Total_Income ]]</f>
        <v>3.1201248049921998E-2</v>
      </c>
      <c r="O180">
        <f>Table2[[#This Row],[LoanAmount]]/Table2[[#This Row],[Loan_Amount_Term]]</f>
        <v>0.44444444444444442</v>
      </c>
      <c r="P180">
        <f>IF(Table2[[#This Row],[Total_Income ]]&gt;=AVERAGE(Table2[[#This Row],[Total_Income ]]),1,0)</f>
        <v>1</v>
      </c>
    </row>
    <row r="181" spans="1:16">
      <c r="A181" t="s">
        <v>206</v>
      </c>
      <c r="B181" t="s">
        <v>30</v>
      </c>
      <c r="C181" t="s">
        <v>19</v>
      </c>
      <c r="D181" s="1">
        <v>1</v>
      </c>
      <c r="E181" t="s">
        <v>20</v>
      </c>
      <c r="F181" t="s">
        <v>21</v>
      </c>
      <c r="G181">
        <v>15312</v>
      </c>
      <c r="H181">
        <v>0</v>
      </c>
      <c r="I181">
        <v>165</v>
      </c>
      <c r="J181">
        <v>360</v>
      </c>
      <c r="K181">
        <v>1</v>
      </c>
      <c r="L181" t="s">
        <v>22</v>
      </c>
      <c r="M181">
        <f>Table2[[#This Row],[ApplicantIncome]]+Table2[[#This Row],[CoapplicantIncome]]</f>
        <v>15312</v>
      </c>
      <c r="N181">
        <f>Table2[[#This Row],[LoanAmount]]/Table2[[#This Row],[Total_Income ]]</f>
        <v>1.0775862068965518E-2</v>
      </c>
      <c r="O181">
        <f>Table2[[#This Row],[LoanAmount]]/Table2[[#This Row],[Loan_Amount_Term]]</f>
        <v>0.45833333333333331</v>
      </c>
      <c r="P181">
        <f>IF(Table2[[#This Row],[Total_Income ]]&gt;=AVERAGE(Table2[[#This Row],[Total_Income ]]),1,0)</f>
        <v>1</v>
      </c>
    </row>
    <row r="182" spans="1:16">
      <c r="A182" t="s">
        <v>207</v>
      </c>
      <c r="B182" t="s">
        <v>18</v>
      </c>
      <c r="C182" t="s">
        <v>19</v>
      </c>
      <c r="D182" s="1" t="s">
        <v>39</v>
      </c>
      <c r="E182" t="s">
        <v>20</v>
      </c>
      <c r="F182" t="s">
        <v>21</v>
      </c>
      <c r="G182">
        <v>3958</v>
      </c>
      <c r="H182">
        <v>2632</v>
      </c>
      <c r="I182">
        <v>110</v>
      </c>
      <c r="J182">
        <v>360</v>
      </c>
      <c r="K182">
        <v>1</v>
      </c>
      <c r="L182" t="s">
        <v>31</v>
      </c>
      <c r="M182">
        <f>Table2[[#This Row],[ApplicantIncome]]+Table2[[#This Row],[CoapplicantIncome]]</f>
        <v>6590</v>
      </c>
      <c r="N182">
        <f>Table2[[#This Row],[LoanAmount]]/Table2[[#This Row],[Total_Income ]]</f>
        <v>1.6691957511380879E-2</v>
      </c>
      <c r="O182">
        <f>Table2[[#This Row],[LoanAmount]]/Table2[[#This Row],[Loan_Amount_Term]]</f>
        <v>0.30555555555555558</v>
      </c>
      <c r="P182">
        <f>IF(Table2[[#This Row],[Total_Income ]]&gt;=AVERAGE(Table2[[#This Row],[Total_Income ]]),1,0)</f>
        <v>1</v>
      </c>
    </row>
    <row r="183" spans="1:16">
      <c r="A183" t="s">
        <v>208</v>
      </c>
      <c r="B183" t="s">
        <v>18</v>
      </c>
      <c r="C183" t="s">
        <v>19</v>
      </c>
      <c r="D183" s="1">
        <v>0</v>
      </c>
      <c r="E183" t="s">
        <v>20</v>
      </c>
      <c r="F183" t="s">
        <v>21</v>
      </c>
      <c r="G183">
        <v>4334</v>
      </c>
      <c r="H183">
        <v>2945</v>
      </c>
      <c r="I183">
        <v>173</v>
      </c>
      <c r="J183">
        <v>360</v>
      </c>
      <c r="K183">
        <v>0</v>
      </c>
      <c r="L183" t="s">
        <v>31</v>
      </c>
      <c r="M183">
        <f>Table2[[#This Row],[ApplicantIncome]]+Table2[[#This Row],[CoapplicantIncome]]</f>
        <v>7279</v>
      </c>
      <c r="N183">
        <f>Table2[[#This Row],[LoanAmount]]/Table2[[#This Row],[Total_Income ]]</f>
        <v>2.3767000961670559E-2</v>
      </c>
      <c r="O183">
        <f>Table2[[#This Row],[LoanAmount]]/Table2[[#This Row],[Loan_Amount_Term]]</f>
        <v>0.48055555555555557</v>
      </c>
      <c r="P183">
        <f>IF(Table2[[#This Row],[Total_Income ]]&gt;=AVERAGE(Table2[[#This Row],[Total_Income ]]),1,0)</f>
        <v>1</v>
      </c>
    </row>
    <row r="184" spans="1:16">
      <c r="A184" t="s">
        <v>209</v>
      </c>
      <c r="B184" t="s">
        <v>18</v>
      </c>
      <c r="C184" t="s">
        <v>19</v>
      </c>
      <c r="D184" s="1">
        <v>2</v>
      </c>
      <c r="E184" t="s">
        <v>20</v>
      </c>
      <c r="F184" t="s">
        <v>21</v>
      </c>
      <c r="G184">
        <v>4358</v>
      </c>
      <c r="H184">
        <v>0</v>
      </c>
      <c r="I184">
        <v>150</v>
      </c>
      <c r="J184">
        <v>360</v>
      </c>
      <c r="K184">
        <v>1</v>
      </c>
      <c r="L184" t="s">
        <v>22</v>
      </c>
      <c r="M184">
        <f>Table2[[#This Row],[ApplicantIncome]]+Table2[[#This Row],[CoapplicantIncome]]</f>
        <v>4358</v>
      </c>
      <c r="N184">
        <f>Table2[[#This Row],[LoanAmount]]/Table2[[#This Row],[Total_Income ]]</f>
        <v>3.4419458467186782E-2</v>
      </c>
      <c r="O184">
        <f>Table2[[#This Row],[LoanAmount]]/Table2[[#This Row],[Loan_Amount_Term]]</f>
        <v>0.41666666666666669</v>
      </c>
      <c r="P184">
        <f>IF(Table2[[#This Row],[Total_Income ]]&gt;=AVERAGE(Table2[[#This Row],[Total_Income ]]),1,0)</f>
        <v>1</v>
      </c>
    </row>
    <row r="185" spans="1:16">
      <c r="A185" t="s">
        <v>210</v>
      </c>
      <c r="B185" t="s">
        <v>18</v>
      </c>
      <c r="C185" t="s">
        <v>19</v>
      </c>
      <c r="D185" s="1">
        <v>2</v>
      </c>
      <c r="E185" t="s">
        <v>20</v>
      </c>
      <c r="F185" t="s">
        <v>21</v>
      </c>
      <c r="G185">
        <v>4000</v>
      </c>
      <c r="H185">
        <v>3917</v>
      </c>
      <c r="I185">
        <v>135</v>
      </c>
      <c r="J185">
        <v>360</v>
      </c>
      <c r="K185">
        <v>0</v>
      </c>
      <c r="L185" t="s">
        <v>33</v>
      </c>
      <c r="M185">
        <f>Table2[[#This Row],[ApplicantIncome]]+Table2[[#This Row],[CoapplicantIncome]]</f>
        <v>7917</v>
      </c>
      <c r="N185">
        <f>Table2[[#This Row],[LoanAmount]]/Table2[[#This Row],[Total_Income ]]</f>
        <v>1.7051913603637742E-2</v>
      </c>
      <c r="O185">
        <f>Table2[[#This Row],[LoanAmount]]/Table2[[#This Row],[Loan_Amount_Term]]</f>
        <v>0.375</v>
      </c>
      <c r="P185">
        <f>IF(Table2[[#This Row],[Total_Income ]]&gt;=AVERAGE(Table2[[#This Row],[Total_Income ]]),1,0)</f>
        <v>1</v>
      </c>
    </row>
    <row r="186" spans="1:16">
      <c r="A186" t="s">
        <v>211</v>
      </c>
      <c r="B186" t="s">
        <v>18</v>
      </c>
      <c r="C186" t="s">
        <v>19</v>
      </c>
      <c r="D186" s="1">
        <v>0</v>
      </c>
      <c r="E186" t="s">
        <v>20</v>
      </c>
      <c r="F186" t="s">
        <v>19</v>
      </c>
      <c r="G186">
        <v>10166</v>
      </c>
      <c r="H186">
        <v>750</v>
      </c>
      <c r="I186">
        <v>150</v>
      </c>
      <c r="J186">
        <v>360</v>
      </c>
      <c r="K186">
        <v>1</v>
      </c>
      <c r="L186" t="s">
        <v>22</v>
      </c>
      <c r="M186">
        <f>Table2[[#This Row],[ApplicantIncome]]+Table2[[#This Row],[CoapplicantIncome]]</f>
        <v>10916</v>
      </c>
      <c r="N186">
        <f>Table2[[#This Row],[LoanAmount]]/Table2[[#This Row],[Total_Income ]]</f>
        <v>1.3741297178453645E-2</v>
      </c>
      <c r="O186">
        <f>Table2[[#This Row],[LoanAmount]]/Table2[[#This Row],[Loan_Amount_Term]]</f>
        <v>0.41666666666666669</v>
      </c>
      <c r="P186">
        <f>IF(Table2[[#This Row],[Total_Income ]]&gt;=AVERAGE(Table2[[#This Row],[Total_Income ]]),1,0)</f>
        <v>1</v>
      </c>
    </row>
    <row r="187" spans="1:16">
      <c r="A187" t="s">
        <v>212</v>
      </c>
      <c r="B187" t="s">
        <v>18</v>
      </c>
      <c r="C187" t="s">
        <v>19</v>
      </c>
      <c r="D187" s="1">
        <v>2</v>
      </c>
      <c r="E187" t="s">
        <v>27</v>
      </c>
      <c r="F187" t="s">
        <v>21</v>
      </c>
      <c r="G187">
        <v>4483</v>
      </c>
      <c r="H187">
        <v>0</v>
      </c>
      <c r="I187">
        <v>235</v>
      </c>
      <c r="J187">
        <v>84</v>
      </c>
      <c r="K187">
        <v>1</v>
      </c>
      <c r="L187" t="s">
        <v>31</v>
      </c>
      <c r="M187">
        <f>Table2[[#This Row],[ApplicantIncome]]+Table2[[#This Row],[CoapplicantIncome]]</f>
        <v>4483</v>
      </c>
      <c r="N187">
        <f>Table2[[#This Row],[LoanAmount]]/Table2[[#This Row],[Total_Income ]]</f>
        <v>5.2420254293999553E-2</v>
      </c>
      <c r="O187">
        <f>Table2[[#This Row],[LoanAmount]]/Table2[[#This Row],[Loan_Amount_Term]]</f>
        <v>2.7976190476190474</v>
      </c>
      <c r="P187">
        <f>IF(Table2[[#This Row],[Total_Income ]]&gt;=AVERAGE(Table2[[#This Row],[Total_Income ]]),1,0)</f>
        <v>1</v>
      </c>
    </row>
    <row r="188" spans="1:16">
      <c r="A188" t="s">
        <v>213</v>
      </c>
      <c r="B188" t="s">
        <v>30</v>
      </c>
      <c r="C188" t="s">
        <v>19</v>
      </c>
      <c r="D188" s="1">
        <v>1</v>
      </c>
      <c r="E188" t="s">
        <v>27</v>
      </c>
      <c r="F188" t="s">
        <v>21</v>
      </c>
      <c r="G188">
        <v>4521</v>
      </c>
      <c r="H188">
        <v>1184</v>
      </c>
      <c r="I188">
        <v>336</v>
      </c>
      <c r="J188">
        <v>360</v>
      </c>
      <c r="K188">
        <v>1</v>
      </c>
      <c r="L188" t="s">
        <v>31</v>
      </c>
      <c r="M188">
        <f>Table2[[#This Row],[ApplicantIncome]]+Table2[[#This Row],[CoapplicantIncome]]</f>
        <v>5705</v>
      </c>
      <c r="N188">
        <f>Table2[[#This Row],[LoanAmount]]/Table2[[#This Row],[Total_Income ]]</f>
        <v>5.8895705521472393E-2</v>
      </c>
      <c r="O188">
        <f>Table2[[#This Row],[LoanAmount]]/Table2[[#This Row],[Loan_Amount_Term]]</f>
        <v>0.93333333333333335</v>
      </c>
      <c r="P188">
        <f>IF(Table2[[#This Row],[Total_Income ]]&gt;=AVERAGE(Table2[[#This Row],[Total_Income ]]),1,0)</f>
        <v>1</v>
      </c>
    </row>
    <row r="189" spans="1:16">
      <c r="A189" t="s">
        <v>214</v>
      </c>
      <c r="B189" t="s">
        <v>18</v>
      </c>
      <c r="C189" t="s">
        <v>19</v>
      </c>
      <c r="D189" s="1">
        <v>0</v>
      </c>
      <c r="E189" t="s">
        <v>20</v>
      </c>
      <c r="F189" t="s">
        <v>21</v>
      </c>
      <c r="G189">
        <v>9167</v>
      </c>
      <c r="H189">
        <v>0</v>
      </c>
      <c r="I189">
        <v>132</v>
      </c>
      <c r="J189">
        <v>360</v>
      </c>
      <c r="K189">
        <v>1</v>
      </c>
      <c r="L189" t="s">
        <v>31</v>
      </c>
      <c r="M189">
        <f>Table2[[#This Row],[ApplicantIncome]]+Table2[[#This Row],[CoapplicantIncome]]</f>
        <v>9167</v>
      </c>
      <c r="N189">
        <f>Table2[[#This Row],[LoanAmount]]/Table2[[#This Row],[Total_Income ]]</f>
        <v>1.4399476382676994E-2</v>
      </c>
      <c r="O189">
        <f>Table2[[#This Row],[LoanAmount]]/Table2[[#This Row],[Loan_Amount_Term]]</f>
        <v>0.36666666666666664</v>
      </c>
      <c r="P189">
        <f>IF(Table2[[#This Row],[Total_Income ]]&gt;=AVERAGE(Table2[[#This Row],[Total_Income ]]),1,0)</f>
        <v>1</v>
      </c>
    </row>
    <row r="190" spans="1:16">
      <c r="A190" t="s">
        <v>215</v>
      </c>
      <c r="B190" t="s">
        <v>18</v>
      </c>
      <c r="C190" t="s">
        <v>19</v>
      </c>
      <c r="D190" s="1">
        <v>2</v>
      </c>
      <c r="E190" t="s">
        <v>27</v>
      </c>
      <c r="F190" t="s">
        <v>19</v>
      </c>
      <c r="G190">
        <v>13083</v>
      </c>
      <c r="H190">
        <v>0</v>
      </c>
      <c r="I190">
        <v>96</v>
      </c>
      <c r="J190">
        <v>360</v>
      </c>
      <c r="K190">
        <v>1</v>
      </c>
      <c r="L190" t="s">
        <v>33</v>
      </c>
      <c r="M190">
        <f>Table2[[#This Row],[ApplicantIncome]]+Table2[[#This Row],[CoapplicantIncome]]</f>
        <v>13083</v>
      </c>
      <c r="N190">
        <f>Table2[[#This Row],[LoanAmount]]/Table2[[#This Row],[Total_Income ]]</f>
        <v>7.3377665673010775E-3</v>
      </c>
      <c r="O190">
        <f>Table2[[#This Row],[LoanAmount]]/Table2[[#This Row],[Loan_Amount_Term]]</f>
        <v>0.26666666666666666</v>
      </c>
      <c r="P190">
        <f>IF(Table2[[#This Row],[Total_Income ]]&gt;=AVERAGE(Table2[[#This Row],[Total_Income ]]),1,0)</f>
        <v>1</v>
      </c>
    </row>
    <row r="191" spans="1:16">
      <c r="A191" t="s">
        <v>216</v>
      </c>
      <c r="B191" t="s">
        <v>18</v>
      </c>
      <c r="C191" t="s">
        <v>19</v>
      </c>
      <c r="D191" s="1" t="s">
        <v>39</v>
      </c>
      <c r="E191" t="s">
        <v>20</v>
      </c>
      <c r="F191" t="s">
        <v>19</v>
      </c>
      <c r="G191">
        <v>7874</v>
      </c>
      <c r="H191">
        <v>3967</v>
      </c>
      <c r="I191">
        <v>180</v>
      </c>
      <c r="J191">
        <v>360</v>
      </c>
      <c r="K191">
        <v>1</v>
      </c>
      <c r="L191" t="s">
        <v>33</v>
      </c>
      <c r="M191">
        <f>Table2[[#This Row],[ApplicantIncome]]+Table2[[#This Row],[CoapplicantIncome]]</f>
        <v>11841</v>
      </c>
      <c r="N191">
        <f>Table2[[#This Row],[LoanAmount]]/Table2[[#This Row],[Total_Income ]]</f>
        <v>1.5201418799087915E-2</v>
      </c>
      <c r="O191">
        <f>Table2[[#This Row],[LoanAmount]]/Table2[[#This Row],[Loan_Amount_Term]]</f>
        <v>0.5</v>
      </c>
      <c r="P191">
        <f>IF(Table2[[#This Row],[Total_Income ]]&gt;=AVERAGE(Table2[[#This Row],[Total_Income ]]),1,0)</f>
        <v>1</v>
      </c>
    </row>
    <row r="192" spans="1:16">
      <c r="A192" t="s">
        <v>217</v>
      </c>
      <c r="B192" t="s">
        <v>18</v>
      </c>
      <c r="C192" t="s">
        <v>19</v>
      </c>
      <c r="D192" s="1">
        <v>1</v>
      </c>
      <c r="E192" t="s">
        <v>20</v>
      </c>
      <c r="F192" t="s">
        <v>21</v>
      </c>
      <c r="G192">
        <v>4333</v>
      </c>
      <c r="H192">
        <v>0</v>
      </c>
      <c r="I192">
        <v>128</v>
      </c>
      <c r="J192">
        <v>360</v>
      </c>
      <c r="K192">
        <v>1</v>
      </c>
      <c r="L192" t="s">
        <v>33</v>
      </c>
      <c r="M192">
        <f>Table2[[#This Row],[ApplicantIncome]]+Table2[[#This Row],[CoapplicantIncome]]</f>
        <v>4333</v>
      </c>
      <c r="N192">
        <f>Table2[[#This Row],[LoanAmount]]/Table2[[#This Row],[Total_Income ]]</f>
        <v>2.9540733902607894E-2</v>
      </c>
      <c r="O192">
        <f>Table2[[#This Row],[LoanAmount]]/Table2[[#This Row],[Loan_Amount_Term]]</f>
        <v>0.35555555555555557</v>
      </c>
      <c r="P192">
        <f>IF(Table2[[#This Row],[Total_Income ]]&gt;=AVERAGE(Table2[[#This Row],[Total_Income ]]),1,0)</f>
        <v>1</v>
      </c>
    </row>
    <row r="193" spans="1:16">
      <c r="A193" t="s">
        <v>218</v>
      </c>
      <c r="B193" t="s">
        <v>18</v>
      </c>
      <c r="C193" t="s">
        <v>21</v>
      </c>
      <c r="D193" s="1">
        <v>0</v>
      </c>
      <c r="E193" t="s">
        <v>20</v>
      </c>
      <c r="F193" t="s">
        <v>21</v>
      </c>
      <c r="G193">
        <v>4083</v>
      </c>
      <c r="H193">
        <v>0</v>
      </c>
      <c r="I193">
        <v>412</v>
      </c>
      <c r="J193">
        <v>360</v>
      </c>
      <c r="K193">
        <v>1</v>
      </c>
      <c r="L193" t="s">
        <v>22</v>
      </c>
      <c r="M193">
        <f>Table2[[#This Row],[ApplicantIncome]]+Table2[[#This Row],[CoapplicantIncome]]</f>
        <v>4083</v>
      </c>
      <c r="N193">
        <f>Table2[[#This Row],[LoanAmount]]/Table2[[#This Row],[Total_Income ]]</f>
        <v>0.10090619642419789</v>
      </c>
      <c r="O193">
        <f>Table2[[#This Row],[LoanAmount]]/Table2[[#This Row],[Loan_Amount_Term]]</f>
        <v>1.1444444444444444</v>
      </c>
      <c r="P193">
        <f>IF(Table2[[#This Row],[Total_Income ]]&gt;=AVERAGE(Table2[[#This Row],[Total_Income ]]),1,0)</f>
        <v>1</v>
      </c>
    </row>
    <row r="194" spans="1:16">
      <c r="A194" t="s">
        <v>219</v>
      </c>
      <c r="B194" t="s">
        <v>18</v>
      </c>
      <c r="C194" t="s">
        <v>19</v>
      </c>
      <c r="D194" s="1">
        <v>1</v>
      </c>
      <c r="E194" t="s">
        <v>27</v>
      </c>
      <c r="F194" t="s">
        <v>21</v>
      </c>
      <c r="G194">
        <v>3785</v>
      </c>
      <c r="H194">
        <v>2912</v>
      </c>
      <c r="I194">
        <v>116</v>
      </c>
      <c r="J194">
        <v>360</v>
      </c>
      <c r="K194">
        <v>1</v>
      </c>
      <c r="L194" t="s">
        <v>33</v>
      </c>
      <c r="M194">
        <f>Table2[[#This Row],[ApplicantIncome]]+Table2[[#This Row],[CoapplicantIncome]]</f>
        <v>6697</v>
      </c>
      <c r="N194">
        <f>Table2[[#This Row],[LoanAmount]]/Table2[[#This Row],[Total_Income ]]</f>
        <v>1.7321188591906823E-2</v>
      </c>
      <c r="O194">
        <f>Table2[[#This Row],[LoanAmount]]/Table2[[#This Row],[Loan_Amount_Term]]</f>
        <v>0.32222222222222224</v>
      </c>
      <c r="P194">
        <f>IF(Table2[[#This Row],[Total_Income ]]&gt;=AVERAGE(Table2[[#This Row],[Total_Income ]]),1,0)</f>
        <v>1</v>
      </c>
    </row>
    <row r="195" spans="1:16">
      <c r="A195" t="s">
        <v>220</v>
      </c>
      <c r="B195" t="s">
        <v>18</v>
      </c>
      <c r="C195" t="s">
        <v>19</v>
      </c>
      <c r="D195" s="1">
        <v>0</v>
      </c>
      <c r="E195" t="s">
        <v>27</v>
      </c>
      <c r="F195" t="s">
        <v>21</v>
      </c>
      <c r="G195">
        <v>2654</v>
      </c>
      <c r="H195">
        <v>1998</v>
      </c>
      <c r="I195">
        <v>114</v>
      </c>
      <c r="J195">
        <v>360</v>
      </c>
      <c r="K195">
        <v>1</v>
      </c>
      <c r="L195" t="s">
        <v>33</v>
      </c>
      <c r="M195">
        <f>Table2[[#This Row],[ApplicantIncome]]+Table2[[#This Row],[CoapplicantIncome]]</f>
        <v>4652</v>
      </c>
      <c r="N195">
        <f>Table2[[#This Row],[LoanAmount]]/Table2[[#This Row],[Total_Income ]]</f>
        <v>2.4505588993981083E-2</v>
      </c>
      <c r="O195">
        <f>Table2[[#This Row],[LoanAmount]]/Table2[[#This Row],[Loan_Amount_Term]]</f>
        <v>0.31666666666666665</v>
      </c>
      <c r="P195">
        <f>IF(Table2[[#This Row],[Total_Income ]]&gt;=AVERAGE(Table2[[#This Row],[Total_Income ]]),1,0)</f>
        <v>1</v>
      </c>
    </row>
    <row r="196" spans="1:16">
      <c r="A196" t="s">
        <v>221</v>
      </c>
      <c r="B196" t="s">
        <v>18</v>
      </c>
      <c r="C196" t="s">
        <v>19</v>
      </c>
      <c r="D196" s="1">
        <v>2</v>
      </c>
      <c r="E196" t="s">
        <v>20</v>
      </c>
      <c r="F196" t="s">
        <v>21</v>
      </c>
      <c r="G196">
        <v>10000</v>
      </c>
      <c r="H196">
        <v>2690</v>
      </c>
      <c r="I196">
        <v>115</v>
      </c>
      <c r="J196">
        <v>360</v>
      </c>
      <c r="K196">
        <v>1</v>
      </c>
      <c r="L196" t="s">
        <v>31</v>
      </c>
      <c r="M196">
        <f>Table2[[#This Row],[ApplicantIncome]]+Table2[[#This Row],[CoapplicantIncome]]</f>
        <v>12690</v>
      </c>
      <c r="N196">
        <f>Table2[[#This Row],[LoanAmount]]/Table2[[#This Row],[Total_Income ]]</f>
        <v>9.0622537431048061E-3</v>
      </c>
      <c r="O196">
        <f>Table2[[#This Row],[LoanAmount]]/Table2[[#This Row],[Loan_Amount_Term]]</f>
        <v>0.31944444444444442</v>
      </c>
      <c r="P196">
        <f>IF(Table2[[#This Row],[Total_Income ]]&gt;=AVERAGE(Table2[[#This Row],[Total_Income ]]),1,0)</f>
        <v>1</v>
      </c>
    </row>
    <row r="197" spans="1:16">
      <c r="A197" t="s">
        <v>222</v>
      </c>
      <c r="B197" t="s">
        <v>18</v>
      </c>
      <c r="C197" t="s">
        <v>21</v>
      </c>
      <c r="D197" s="1">
        <v>0</v>
      </c>
      <c r="E197" t="s">
        <v>20</v>
      </c>
      <c r="F197" t="s">
        <v>21</v>
      </c>
      <c r="G197">
        <v>5833</v>
      </c>
      <c r="H197">
        <v>0</v>
      </c>
      <c r="I197">
        <v>104</v>
      </c>
      <c r="J197">
        <v>480</v>
      </c>
      <c r="K197">
        <v>0</v>
      </c>
      <c r="L197" t="s">
        <v>22</v>
      </c>
      <c r="M197">
        <f>Table2[[#This Row],[ApplicantIncome]]+Table2[[#This Row],[CoapplicantIncome]]</f>
        <v>5833</v>
      </c>
      <c r="N197">
        <f>Table2[[#This Row],[LoanAmount]]/Table2[[#This Row],[Total_Income ]]</f>
        <v>1.7829590262300701E-2</v>
      </c>
      <c r="O197">
        <f>Table2[[#This Row],[LoanAmount]]/Table2[[#This Row],[Loan_Amount_Term]]</f>
        <v>0.21666666666666667</v>
      </c>
      <c r="P197">
        <f>IF(Table2[[#This Row],[Total_Income ]]&gt;=AVERAGE(Table2[[#This Row],[Total_Income ]]),1,0)</f>
        <v>1</v>
      </c>
    </row>
    <row r="198" spans="1:16">
      <c r="A198" t="s">
        <v>223</v>
      </c>
      <c r="B198" t="s">
        <v>18</v>
      </c>
      <c r="C198" t="s">
        <v>19</v>
      </c>
      <c r="D198" s="1">
        <v>0</v>
      </c>
      <c r="E198" t="s">
        <v>20</v>
      </c>
      <c r="F198" t="s">
        <v>21</v>
      </c>
      <c r="G198">
        <v>4796</v>
      </c>
      <c r="H198">
        <v>0</v>
      </c>
      <c r="I198">
        <v>88</v>
      </c>
      <c r="J198">
        <v>360</v>
      </c>
      <c r="K198">
        <v>1</v>
      </c>
      <c r="L198" t="s">
        <v>31</v>
      </c>
      <c r="M198">
        <f>Table2[[#This Row],[ApplicantIncome]]+Table2[[#This Row],[CoapplicantIncome]]</f>
        <v>4796</v>
      </c>
      <c r="N198">
        <f>Table2[[#This Row],[LoanAmount]]/Table2[[#This Row],[Total_Income ]]</f>
        <v>1.834862385321101E-2</v>
      </c>
      <c r="O198">
        <f>Table2[[#This Row],[LoanAmount]]/Table2[[#This Row],[Loan_Amount_Term]]</f>
        <v>0.24444444444444444</v>
      </c>
      <c r="P198">
        <f>IF(Table2[[#This Row],[Total_Income ]]&gt;=AVERAGE(Table2[[#This Row],[Total_Income ]]),1,0)</f>
        <v>1</v>
      </c>
    </row>
    <row r="199" spans="1:16">
      <c r="A199" t="s">
        <v>224</v>
      </c>
      <c r="B199" t="s">
        <v>18</v>
      </c>
      <c r="C199" t="s">
        <v>19</v>
      </c>
      <c r="D199" s="1" t="s">
        <v>39</v>
      </c>
      <c r="E199" t="s">
        <v>27</v>
      </c>
      <c r="F199" t="s">
        <v>21</v>
      </c>
      <c r="G199">
        <v>2000</v>
      </c>
      <c r="H199">
        <v>1600</v>
      </c>
      <c r="I199">
        <v>108</v>
      </c>
      <c r="J199">
        <v>360</v>
      </c>
      <c r="K199">
        <v>1</v>
      </c>
      <c r="L199" t="s">
        <v>33</v>
      </c>
      <c r="M199">
        <f>Table2[[#This Row],[ApplicantIncome]]+Table2[[#This Row],[CoapplicantIncome]]</f>
        <v>3600</v>
      </c>
      <c r="N199">
        <f>Table2[[#This Row],[LoanAmount]]/Table2[[#This Row],[Total_Income ]]</f>
        <v>0.03</v>
      </c>
      <c r="O199">
        <f>Table2[[#This Row],[LoanAmount]]/Table2[[#This Row],[Loan_Amount_Term]]</f>
        <v>0.3</v>
      </c>
      <c r="P199">
        <f>IF(Table2[[#This Row],[Total_Income ]]&gt;=AVERAGE(Table2[[#This Row],[Total_Income ]]),1,0)</f>
        <v>1</v>
      </c>
    </row>
    <row r="200" spans="1:16">
      <c r="A200" t="s">
        <v>225</v>
      </c>
      <c r="B200" t="s">
        <v>18</v>
      </c>
      <c r="C200" t="s">
        <v>19</v>
      </c>
      <c r="D200" s="1">
        <v>0</v>
      </c>
      <c r="E200" t="s">
        <v>20</v>
      </c>
      <c r="F200" t="s">
        <v>21</v>
      </c>
      <c r="G200">
        <v>2540</v>
      </c>
      <c r="H200">
        <v>700</v>
      </c>
      <c r="I200">
        <v>90</v>
      </c>
      <c r="J200">
        <v>360</v>
      </c>
      <c r="K200">
        <v>1</v>
      </c>
      <c r="L200" t="s">
        <v>22</v>
      </c>
      <c r="M200">
        <f>Table2[[#This Row],[ApplicantIncome]]+Table2[[#This Row],[CoapplicantIncome]]</f>
        <v>3240</v>
      </c>
      <c r="N200">
        <f>Table2[[#This Row],[LoanAmount]]/Table2[[#This Row],[Total_Income ]]</f>
        <v>2.7777777777777776E-2</v>
      </c>
      <c r="O200">
        <f>Table2[[#This Row],[LoanAmount]]/Table2[[#This Row],[Loan_Amount_Term]]</f>
        <v>0.25</v>
      </c>
      <c r="P200">
        <f>IF(Table2[[#This Row],[Total_Income ]]&gt;=AVERAGE(Table2[[#This Row],[Total_Income ]]),1,0)</f>
        <v>1</v>
      </c>
    </row>
    <row r="201" spans="1:16">
      <c r="A201" t="s">
        <v>226</v>
      </c>
      <c r="B201" t="s">
        <v>30</v>
      </c>
      <c r="C201" t="s">
        <v>19</v>
      </c>
      <c r="D201" s="1">
        <v>0</v>
      </c>
      <c r="E201" t="s">
        <v>20</v>
      </c>
      <c r="F201" t="s">
        <v>21</v>
      </c>
      <c r="G201">
        <v>1900</v>
      </c>
      <c r="H201">
        <v>1442</v>
      </c>
      <c r="I201">
        <v>100</v>
      </c>
      <c r="J201">
        <v>360</v>
      </c>
      <c r="K201">
        <v>1</v>
      </c>
      <c r="L201" t="s">
        <v>33</v>
      </c>
      <c r="M201">
        <f>Table2[[#This Row],[ApplicantIncome]]+Table2[[#This Row],[CoapplicantIncome]]</f>
        <v>3342</v>
      </c>
      <c r="N201">
        <f>Table2[[#This Row],[LoanAmount]]/Table2[[#This Row],[Total_Income ]]</f>
        <v>2.9922202274087373E-2</v>
      </c>
      <c r="O201">
        <f>Table2[[#This Row],[LoanAmount]]/Table2[[#This Row],[Loan_Amount_Term]]</f>
        <v>0.27777777777777779</v>
      </c>
      <c r="P201">
        <f>IF(Table2[[#This Row],[Total_Income ]]&gt;=AVERAGE(Table2[[#This Row],[Total_Income ]]),1,0)</f>
        <v>1</v>
      </c>
    </row>
    <row r="202" spans="1:16">
      <c r="A202" t="s">
        <v>227</v>
      </c>
      <c r="B202" t="s">
        <v>30</v>
      </c>
      <c r="C202" t="s">
        <v>19</v>
      </c>
      <c r="D202" s="1">
        <v>0</v>
      </c>
      <c r="E202" t="s">
        <v>20</v>
      </c>
      <c r="F202" t="s">
        <v>21</v>
      </c>
      <c r="G202">
        <v>8706</v>
      </c>
      <c r="H202">
        <v>0</v>
      </c>
      <c r="I202">
        <v>108</v>
      </c>
      <c r="J202">
        <v>360</v>
      </c>
      <c r="K202">
        <v>1</v>
      </c>
      <c r="L202" t="s">
        <v>33</v>
      </c>
      <c r="M202">
        <f>Table2[[#This Row],[ApplicantIncome]]+Table2[[#This Row],[CoapplicantIncome]]</f>
        <v>8706</v>
      </c>
      <c r="N202">
        <f>Table2[[#This Row],[LoanAmount]]/Table2[[#This Row],[Total_Income ]]</f>
        <v>1.2405237767057202E-2</v>
      </c>
      <c r="O202">
        <f>Table2[[#This Row],[LoanAmount]]/Table2[[#This Row],[Loan_Amount_Term]]</f>
        <v>0.3</v>
      </c>
      <c r="P202">
        <f>IF(Table2[[#This Row],[Total_Income ]]&gt;=AVERAGE(Table2[[#This Row],[Total_Income ]]),1,0)</f>
        <v>1</v>
      </c>
    </row>
    <row r="203" spans="1:16">
      <c r="A203" t="s">
        <v>228</v>
      </c>
      <c r="B203" t="s">
        <v>18</v>
      </c>
      <c r="C203" t="s">
        <v>19</v>
      </c>
      <c r="D203" s="1">
        <v>1</v>
      </c>
      <c r="E203" t="s">
        <v>27</v>
      </c>
      <c r="F203" t="s">
        <v>19</v>
      </c>
      <c r="G203">
        <v>2855</v>
      </c>
      <c r="H203">
        <v>542</v>
      </c>
      <c r="I203">
        <v>78</v>
      </c>
      <c r="J203">
        <v>360</v>
      </c>
      <c r="K203">
        <v>1</v>
      </c>
      <c r="L203" t="s">
        <v>22</v>
      </c>
      <c r="M203">
        <f>Table2[[#This Row],[ApplicantIncome]]+Table2[[#This Row],[CoapplicantIncome]]</f>
        <v>3397</v>
      </c>
      <c r="N203">
        <f>Table2[[#This Row],[LoanAmount]]/Table2[[#This Row],[Total_Income ]]</f>
        <v>2.2961436561672065E-2</v>
      </c>
      <c r="O203">
        <f>Table2[[#This Row],[LoanAmount]]/Table2[[#This Row],[Loan_Amount_Term]]</f>
        <v>0.21666666666666667</v>
      </c>
      <c r="P203">
        <f>IF(Table2[[#This Row],[Total_Income ]]&gt;=AVERAGE(Table2[[#This Row],[Total_Income ]]),1,0)</f>
        <v>1</v>
      </c>
    </row>
    <row r="204" spans="1:16">
      <c r="A204" t="s">
        <v>229</v>
      </c>
      <c r="B204" t="s">
        <v>18</v>
      </c>
      <c r="C204" t="s">
        <v>19</v>
      </c>
      <c r="D204" s="1">
        <v>1</v>
      </c>
      <c r="E204" t="s">
        <v>20</v>
      </c>
      <c r="F204" t="s">
        <v>21</v>
      </c>
      <c r="G204">
        <v>3016</v>
      </c>
      <c r="H204">
        <v>1300</v>
      </c>
      <c r="I204">
        <v>123</v>
      </c>
      <c r="J204">
        <v>360</v>
      </c>
      <c r="K204">
        <v>1</v>
      </c>
      <c r="L204" t="s">
        <v>22</v>
      </c>
      <c r="M204">
        <f>Table2[[#This Row],[ApplicantIncome]]+Table2[[#This Row],[CoapplicantIncome]]</f>
        <v>4316</v>
      </c>
      <c r="N204">
        <f>Table2[[#This Row],[LoanAmount]]/Table2[[#This Row],[Total_Income ]]</f>
        <v>2.8498609823911027E-2</v>
      </c>
      <c r="O204">
        <f>Table2[[#This Row],[LoanAmount]]/Table2[[#This Row],[Loan_Amount_Term]]</f>
        <v>0.34166666666666667</v>
      </c>
      <c r="P204">
        <f>IF(Table2[[#This Row],[Total_Income ]]&gt;=AVERAGE(Table2[[#This Row],[Total_Income ]]),1,0)</f>
        <v>1</v>
      </c>
    </row>
    <row r="205" spans="1:16">
      <c r="A205" t="s">
        <v>230</v>
      </c>
      <c r="B205" t="s">
        <v>18</v>
      </c>
      <c r="C205" t="s">
        <v>19</v>
      </c>
      <c r="D205" s="1">
        <v>0</v>
      </c>
      <c r="E205" t="s">
        <v>20</v>
      </c>
      <c r="F205" t="s">
        <v>21</v>
      </c>
      <c r="G205">
        <v>3159</v>
      </c>
      <c r="H205">
        <v>2374</v>
      </c>
      <c r="I205">
        <v>187</v>
      </c>
      <c r="J205">
        <v>360</v>
      </c>
      <c r="K205">
        <v>1</v>
      </c>
      <c r="L205" t="s">
        <v>31</v>
      </c>
      <c r="M205">
        <f>Table2[[#This Row],[ApplicantIncome]]+Table2[[#This Row],[CoapplicantIncome]]</f>
        <v>5533</v>
      </c>
      <c r="N205">
        <f>Table2[[#This Row],[LoanAmount]]/Table2[[#This Row],[Total_Income ]]</f>
        <v>3.3797216699801194E-2</v>
      </c>
      <c r="O205">
        <f>Table2[[#This Row],[LoanAmount]]/Table2[[#This Row],[Loan_Amount_Term]]</f>
        <v>0.51944444444444449</v>
      </c>
      <c r="P205">
        <f>IF(Table2[[#This Row],[Total_Income ]]&gt;=AVERAGE(Table2[[#This Row],[Total_Income ]]),1,0)</f>
        <v>1</v>
      </c>
    </row>
    <row r="206" spans="1:16">
      <c r="A206" t="s">
        <v>231</v>
      </c>
      <c r="B206" t="s">
        <v>30</v>
      </c>
      <c r="C206" t="s">
        <v>21</v>
      </c>
      <c r="D206" s="1">
        <v>1</v>
      </c>
      <c r="E206" t="s">
        <v>20</v>
      </c>
      <c r="F206" t="s">
        <v>21</v>
      </c>
      <c r="G206">
        <v>1937</v>
      </c>
      <c r="H206">
        <v>1152</v>
      </c>
      <c r="I206">
        <v>146</v>
      </c>
      <c r="J206">
        <v>360</v>
      </c>
      <c r="K206">
        <v>1</v>
      </c>
      <c r="L206" t="s">
        <v>31</v>
      </c>
      <c r="M206">
        <f>Table2[[#This Row],[ApplicantIncome]]+Table2[[#This Row],[CoapplicantIncome]]</f>
        <v>3089</v>
      </c>
      <c r="N206">
        <f>Table2[[#This Row],[LoanAmount]]/Table2[[#This Row],[Total_Income ]]</f>
        <v>4.726448688896083E-2</v>
      </c>
      <c r="O206">
        <f>Table2[[#This Row],[LoanAmount]]/Table2[[#This Row],[Loan_Amount_Term]]</f>
        <v>0.40555555555555556</v>
      </c>
      <c r="P206">
        <f>IF(Table2[[#This Row],[Total_Income ]]&gt;=AVERAGE(Table2[[#This Row],[Total_Income ]]),1,0)</f>
        <v>1</v>
      </c>
    </row>
    <row r="207" spans="1:16">
      <c r="A207" t="s">
        <v>232</v>
      </c>
      <c r="B207" t="s">
        <v>30</v>
      </c>
      <c r="C207" t="s">
        <v>19</v>
      </c>
      <c r="D207" s="1">
        <v>0</v>
      </c>
      <c r="E207" t="s">
        <v>20</v>
      </c>
      <c r="F207" t="s">
        <v>21</v>
      </c>
      <c r="G207">
        <v>2613</v>
      </c>
      <c r="H207">
        <v>2417</v>
      </c>
      <c r="I207">
        <v>80</v>
      </c>
      <c r="J207">
        <v>360</v>
      </c>
      <c r="K207">
        <v>1</v>
      </c>
      <c r="L207" t="s">
        <v>31</v>
      </c>
      <c r="M207">
        <f>Table2[[#This Row],[ApplicantIncome]]+Table2[[#This Row],[CoapplicantIncome]]</f>
        <v>5030</v>
      </c>
      <c r="N207">
        <f>Table2[[#This Row],[LoanAmount]]/Table2[[#This Row],[Total_Income ]]</f>
        <v>1.5904572564612324E-2</v>
      </c>
      <c r="O207">
        <f>Table2[[#This Row],[LoanAmount]]/Table2[[#This Row],[Loan_Amount_Term]]</f>
        <v>0.22222222222222221</v>
      </c>
      <c r="P207">
        <f>IF(Table2[[#This Row],[Total_Income ]]&gt;=AVERAGE(Table2[[#This Row],[Total_Income ]]),1,0)</f>
        <v>1</v>
      </c>
    </row>
    <row r="208" spans="1:16">
      <c r="A208" t="s">
        <v>233</v>
      </c>
      <c r="B208" t="s">
        <v>18</v>
      </c>
      <c r="C208" t="s">
        <v>19</v>
      </c>
      <c r="D208" s="1">
        <v>0</v>
      </c>
      <c r="E208" t="s">
        <v>20</v>
      </c>
      <c r="F208" t="s">
        <v>21</v>
      </c>
      <c r="G208">
        <v>4960</v>
      </c>
      <c r="H208">
        <v>2600</v>
      </c>
      <c r="I208">
        <v>100</v>
      </c>
      <c r="J208">
        <v>360</v>
      </c>
      <c r="K208">
        <v>1</v>
      </c>
      <c r="L208" t="s">
        <v>31</v>
      </c>
      <c r="M208">
        <f>Table2[[#This Row],[ApplicantIncome]]+Table2[[#This Row],[CoapplicantIncome]]</f>
        <v>7560</v>
      </c>
      <c r="N208">
        <f>Table2[[#This Row],[LoanAmount]]/Table2[[#This Row],[Total_Income ]]</f>
        <v>1.3227513227513227E-2</v>
      </c>
      <c r="O208">
        <f>Table2[[#This Row],[LoanAmount]]/Table2[[#This Row],[Loan_Amount_Term]]</f>
        <v>0.27777777777777779</v>
      </c>
      <c r="P208">
        <f>IF(Table2[[#This Row],[Total_Income ]]&gt;=AVERAGE(Table2[[#This Row],[Total_Income ]]),1,0)</f>
        <v>1</v>
      </c>
    </row>
    <row r="209" spans="1:16">
      <c r="A209" t="s">
        <v>234</v>
      </c>
      <c r="B209" t="s">
        <v>18</v>
      </c>
      <c r="C209" t="s">
        <v>19</v>
      </c>
      <c r="D209" s="1" t="s">
        <v>39</v>
      </c>
      <c r="E209" t="s">
        <v>20</v>
      </c>
      <c r="F209" t="s">
        <v>19</v>
      </c>
      <c r="G209">
        <v>3074</v>
      </c>
      <c r="H209">
        <v>1083</v>
      </c>
      <c r="I209">
        <v>55</v>
      </c>
      <c r="J209">
        <v>360</v>
      </c>
      <c r="K209">
        <v>0</v>
      </c>
      <c r="L209" t="s">
        <v>31</v>
      </c>
      <c r="M209">
        <f>Table2[[#This Row],[ApplicantIncome]]+Table2[[#This Row],[CoapplicantIncome]]</f>
        <v>4157</v>
      </c>
      <c r="N209">
        <f>Table2[[#This Row],[LoanAmount]]/Table2[[#This Row],[Total_Income ]]</f>
        <v>1.3230695212893913E-2</v>
      </c>
      <c r="O209">
        <f>Table2[[#This Row],[LoanAmount]]/Table2[[#This Row],[Loan_Amount_Term]]</f>
        <v>0.15277777777777779</v>
      </c>
      <c r="P209">
        <f>IF(Table2[[#This Row],[Total_Income ]]&gt;=AVERAGE(Table2[[#This Row],[Total_Income ]]),1,0)</f>
        <v>1</v>
      </c>
    </row>
    <row r="210" spans="1:16">
      <c r="A210" t="s">
        <v>235</v>
      </c>
      <c r="B210" t="s">
        <v>18</v>
      </c>
      <c r="C210" t="s">
        <v>21</v>
      </c>
      <c r="D210" s="1">
        <v>0</v>
      </c>
      <c r="E210" t="s">
        <v>20</v>
      </c>
      <c r="F210" t="s">
        <v>21</v>
      </c>
      <c r="G210">
        <v>4213</v>
      </c>
      <c r="H210">
        <v>0</v>
      </c>
      <c r="I210">
        <v>200</v>
      </c>
      <c r="J210">
        <v>360</v>
      </c>
      <c r="K210">
        <v>1</v>
      </c>
      <c r="L210" t="s">
        <v>22</v>
      </c>
      <c r="M210">
        <f>Table2[[#This Row],[ApplicantIncome]]+Table2[[#This Row],[CoapplicantIncome]]</f>
        <v>4213</v>
      </c>
      <c r="N210">
        <f>Table2[[#This Row],[LoanAmount]]/Table2[[#This Row],[Total_Income ]]</f>
        <v>4.7472110135295516E-2</v>
      </c>
      <c r="O210">
        <f>Table2[[#This Row],[LoanAmount]]/Table2[[#This Row],[Loan_Amount_Term]]</f>
        <v>0.55555555555555558</v>
      </c>
      <c r="P210">
        <f>IF(Table2[[#This Row],[Total_Income ]]&gt;=AVERAGE(Table2[[#This Row],[Total_Income ]]),1,0)</f>
        <v>1</v>
      </c>
    </row>
    <row r="211" spans="1:16">
      <c r="A211" t="s">
        <v>236</v>
      </c>
      <c r="B211" t="s">
        <v>18</v>
      </c>
      <c r="C211" t="s">
        <v>21</v>
      </c>
      <c r="D211" s="1">
        <v>0</v>
      </c>
      <c r="E211" t="s">
        <v>27</v>
      </c>
      <c r="F211" t="s">
        <v>21</v>
      </c>
      <c r="G211">
        <v>2038</v>
      </c>
      <c r="H211">
        <v>4027</v>
      </c>
      <c r="I211">
        <v>150</v>
      </c>
      <c r="J211">
        <v>300</v>
      </c>
      <c r="K211">
        <v>1</v>
      </c>
      <c r="L211" t="s">
        <v>33</v>
      </c>
      <c r="M211">
        <f>Table2[[#This Row],[ApplicantIncome]]+Table2[[#This Row],[CoapplicantIncome]]</f>
        <v>6065</v>
      </c>
      <c r="N211">
        <f>Table2[[#This Row],[LoanAmount]]/Table2[[#This Row],[Total_Income ]]</f>
        <v>2.47320692497939E-2</v>
      </c>
      <c r="O211">
        <f>Table2[[#This Row],[LoanAmount]]/Table2[[#This Row],[Loan_Amount_Term]]</f>
        <v>0.5</v>
      </c>
      <c r="P211">
        <f>IF(Table2[[#This Row],[Total_Income ]]&gt;=AVERAGE(Table2[[#This Row],[Total_Income ]]),1,0)</f>
        <v>1</v>
      </c>
    </row>
    <row r="212" spans="1:16">
      <c r="A212" t="s">
        <v>237</v>
      </c>
      <c r="B212" t="s">
        <v>18</v>
      </c>
      <c r="C212" t="s">
        <v>21</v>
      </c>
      <c r="D212" s="1">
        <v>0</v>
      </c>
      <c r="E212" t="s">
        <v>20</v>
      </c>
      <c r="F212" t="s">
        <v>21</v>
      </c>
      <c r="G212">
        <v>2362</v>
      </c>
      <c r="H212">
        <v>0</v>
      </c>
      <c r="I212">
        <v>150</v>
      </c>
      <c r="J212">
        <v>36</v>
      </c>
      <c r="K212">
        <v>1</v>
      </c>
      <c r="L212" t="s">
        <v>22</v>
      </c>
      <c r="M212">
        <f>Table2[[#This Row],[ApplicantIncome]]+Table2[[#This Row],[CoapplicantIncome]]</f>
        <v>2362</v>
      </c>
      <c r="N212">
        <f>Table2[[#This Row],[LoanAmount]]/Table2[[#This Row],[Total_Income ]]</f>
        <v>6.3505503810330224E-2</v>
      </c>
      <c r="O212">
        <f>Table2[[#This Row],[LoanAmount]]/Table2[[#This Row],[Loan_Amount_Term]]</f>
        <v>4.166666666666667</v>
      </c>
      <c r="P212">
        <f>IF(Table2[[#This Row],[Total_Income ]]&gt;=AVERAGE(Table2[[#This Row],[Total_Income ]]),1,0)</f>
        <v>1</v>
      </c>
    </row>
    <row r="213" spans="1:16">
      <c r="A213" t="s">
        <v>238</v>
      </c>
      <c r="B213" t="s">
        <v>18</v>
      </c>
      <c r="C213" t="s">
        <v>21</v>
      </c>
      <c r="D213" s="1">
        <v>0</v>
      </c>
      <c r="E213" t="s">
        <v>20</v>
      </c>
      <c r="F213" t="s">
        <v>21</v>
      </c>
      <c r="G213">
        <v>5333</v>
      </c>
      <c r="H213">
        <v>2400</v>
      </c>
      <c r="I213">
        <v>118</v>
      </c>
      <c r="J213">
        <v>360</v>
      </c>
      <c r="K213">
        <v>1</v>
      </c>
      <c r="L213" t="s">
        <v>33</v>
      </c>
      <c r="M213">
        <f>Table2[[#This Row],[ApplicantIncome]]+Table2[[#This Row],[CoapplicantIncome]]</f>
        <v>7733</v>
      </c>
      <c r="N213">
        <f>Table2[[#This Row],[LoanAmount]]/Table2[[#This Row],[Total_Income ]]</f>
        <v>1.5259278417173155E-2</v>
      </c>
      <c r="O213">
        <f>Table2[[#This Row],[LoanAmount]]/Table2[[#This Row],[Loan_Amount_Term]]</f>
        <v>0.32777777777777778</v>
      </c>
      <c r="P213">
        <f>IF(Table2[[#This Row],[Total_Income ]]&gt;=AVERAGE(Table2[[#This Row],[Total_Income ]]),1,0)</f>
        <v>1</v>
      </c>
    </row>
    <row r="214" spans="1:16">
      <c r="A214" t="s">
        <v>239</v>
      </c>
      <c r="B214" t="s">
        <v>18</v>
      </c>
      <c r="C214" t="s">
        <v>19</v>
      </c>
      <c r="D214" s="1">
        <v>0</v>
      </c>
      <c r="E214" t="s">
        <v>20</v>
      </c>
      <c r="F214" t="s">
        <v>21</v>
      </c>
      <c r="G214">
        <v>5384</v>
      </c>
      <c r="H214">
        <v>0</v>
      </c>
      <c r="I214">
        <v>150</v>
      </c>
      <c r="J214">
        <v>360</v>
      </c>
      <c r="K214">
        <v>0</v>
      </c>
      <c r="L214" t="s">
        <v>31</v>
      </c>
      <c r="M214">
        <f>Table2[[#This Row],[ApplicantIncome]]+Table2[[#This Row],[CoapplicantIncome]]</f>
        <v>5384</v>
      </c>
      <c r="N214">
        <f>Table2[[#This Row],[LoanAmount]]/Table2[[#This Row],[Total_Income ]]</f>
        <v>2.786032689450223E-2</v>
      </c>
      <c r="O214">
        <f>Table2[[#This Row],[LoanAmount]]/Table2[[#This Row],[Loan_Amount_Term]]</f>
        <v>0.41666666666666669</v>
      </c>
      <c r="P214">
        <f>IF(Table2[[#This Row],[Total_Income ]]&gt;=AVERAGE(Table2[[#This Row],[Total_Income ]]),1,0)</f>
        <v>1</v>
      </c>
    </row>
    <row r="215" spans="1:16">
      <c r="A215" t="s">
        <v>240</v>
      </c>
      <c r="B215" t="s">
        <v>18</v>
      </c>
      <c r="C215" t="s">
        <v>21</v>
      </c>
      <c r="D215" s="1">
        <v>1</v>
      </c>
      <c r="E215" t="s">
        <v>20</v>
      </c>
      <c r="F215" t="s">
        <v>19</v>
      </c>
      <c r="G215">
        <v>5708</v>
      </c>
      <c r="H215">
        <v>0</v>
      </c>
      <c r="I215">
        <v>118</v>
      </c>
      <c r="J215">
        <v>360</v>
      </c>
      <c r="K215">
        <v>1</v>
      </c>
      <c r="L215" t="s">
        <v>33</v>
      </c>
      <c r="M215">
        <f>Table2[[#This Row],[ApplicantIncome]]+Table2[[#This Row],[CoapplicantIncome]]</f>
        <v>5708</v>
      </c>
      <c r="N215">
        <f>Table2[[#This Row],[LoanAmount]]/Table2[[#This Row],[Total_Income ]]</f>
        <v>2.0672740014015416E-2</v>
      </c>
      <c r="O215">
        <f>Table2[[#This Row],[LoanAmount]]/Table2[[#This Row],[Loan_Amount_Term]]</f>
        <v>0.32777777777777778</v>
      </c>
      <c r="P215">
        <f>IF(Table2[[#This Row],[Total_Income ]]&gt;=AVERAGE(Table2[[#This Row],[Total_Income ]]),1,0)</f>
        <v>1</v>
      </c>
    </row>
    <row r="216" spans="1:16">
      <c r="A216" t="s">
        <v>241</v>
      </c>
      <c r="B216" t="s">
        <v>18</v>
      </c>
      <c r="C216" t="s">
        <v>19</v>
      </c>
      <c r="D216" s="1">
        <v>1</v>
      </c>
      <c r="E216" t="s">
        <v>27</v>
      </c>
      <c r="F216" t="s">
        <v>21</v>
      </c>
      <c r="G216">
        <v>3754</v>
      </c>
      <c r="H216">
        <v>3719</v>
      </c>
      <c r="I216">
        <v>212</v>
      </c>
      <c r="J216">
        <v>360</v>
      </c>
      <c r="K216">
        <v>1</v>
      </c>
      <c r="L216" t="s">
        <v>33</v>
      </c>
      <c r="M216">
        <f>Table2[[#This Row],[ApplicantIncome]]+Table2[[#This Row],[CoapplicantIncome]]</f>
        <v>7473</v>
      </c>
      <c r="N216">
        <f>Table2[[#This Row],[LoanAmount]]/Table2[[#This Row],[Total_Income ]]</f>
        <v>2.8368794326241134E-2</v>
      </c>
      <c r="O216">
        <f>Table2[[#This Row],[LoanAmount]]/Table2[[#This Row],[Loan_Amount_Term]]</f>
        <v>0.58888888888888891</v>
      </c>
      <c r="P216">
        <f>IF(Table2[[#This Row],[Total_Income ]]&gt;=AVERAGE(Table2[[#This Row],[Total_Income ]]),1,0)</f>
        <v>1</v>
      </c>
    </row>
    <row r="217" spans="1:16">
      <c r="A217" t="s">
        <v>242</v>
      </c>
      <c r="B217" t="s">
        <v>18</v>
      </c>
      <c r="C217" t="s">
        <v>19</v>
      </c>
      <c r="D217" s="1">
        <v>0</v>
      </c>
      <c r="E217" t="s">
        <v>27</v>
      </c>
      <c r="F217" t="s">
        <v>21</v>
      </c>
      <c r="G217">
        <v>2914</v>
      </c>
      <c r="H217">
        <v>2130</v>
      </c>
      <c r="I217">
        <v>212</v>
      </c>
      <c r="J217">
        <v>360</v>
      </c>
      <c r="K217">
        <v>1</v>
      </c>
      <c r="L217" t="s">
        <v>22</v>
      </c>
      <c r="M217">
        <f>Table2[[#This Row],[ApplicantIncome]]+Table2[[#This Row],[CoapplicantIncome]]</f>
        <v>5044</v>
      </c>
      <c r="N217">
        <f>Table2[[#This Row],[LoanAmount]]/Table2[[#This Row],[Total_Income ]]</f>
        <v>4.2030134813639972E-2</v>
      </c>
      <c r="O217">
        <f>Table2[[#This Row],[LoanAmount]]/Table2[[#This Row],[Loan_Amount_Term]]</f>
        <v>0.58888888888888891</v>
      </c>
      <c r="P217">
        <f>IF(Table2[[#This Row],[Total_Income ]]&gt;=AVERAGE(Table2[[#This Row],[Total_Income ]]),1,0)</f>
        <v>1</v>
      </c>
    </row>
    <row r="218" spans="1:16">
      <c r="A218" t="s">
        <v>243</v>
      </c>
      <c r="B218" t="s">
        <v>18</v>
      </c>
      <c r="C218" t="s">
        <v>19</v>
      </c>
      <c r="D218" s="1">
        <v>0</v>
      </c>
      <c r="E218" t="s">
        <v>27</v>
      </c>
      <c r="F218" t="s">
        <v>21</v>
      </c>
      <c r="G218">
        <v>2747</v>
      </c>
      <c r="H218">
        <v>2458</v>
      </c>
      <c r="I218">
        <v>125</v>
      </c>
      <c r="J218">
        <v>480</v>
      </c>
      <c r="K218">
        <v>1</v>
      </c>
      <c r="L218" t="s">
        <v>31</v>
      </c>
      <c r="M218">
        <f>Table2[[#This Row],[ApplicantIncome]]+Table2[[#This Row],[CoapplicantIncome]]</f>
        <v>5205</v>
      </c>
      <c r="N218">
        <f>Table2[[#This Row],[LoanAmount]]/Table2[[#This Row],[Total_Income ]]</f>
        <v>2.4015369836695485E-2</v>
      </c>
      <c r="O218">
        <f>Table2[[#This Row],[LoanAmount]]/Table2[[#This Row],[Loan_Amount_Term]]</f>
        <v>0.26041666666666669</v>
      </c>
      <c r="P218">
        <f>IF(Table2[[#This Row],[Total_Income ]]&gt;=AVERAGE(Table2[[#This Row],[Total_Income ]]),1,0)</f>
        <v>1</v>
      </c>
    </row>
    <row r="219" spans="1:16">
      <c r="A219" t="s">
        <v>244</v>
      </c>
      <c r="B219" t="s">
        <v>18</v>
      </c>
      <c r="C219" t="s">
        <v>19</v>
      </c>
      <c r="D219" s="1">
        <v>2</v>
      </c>
      <c r="E219" t="s">
        <v>20</v>
      </c>
      <c r="F219" t="s">
        <v>21</v>
      </c>
      <c r="G219">
        <v>7830</v>
      </c>
      <c r="H219">
        <v>2183</v>
      </c>
      <c r="I219">
        <v>108</v>
      </c>
      <c r="J219">
        <v>300</v>
      </c>
      <c r="K219">
        <v>1</v>
      </c>
      <c r="L219" t="s">
        <v>33</v>
      </c>
      <c r="M219">
        <f>Table2[[#This Row],[ApplicantIncome]]+Table2[[#This Row],[CoapplicantIncome]]</f>
        <v>10013</v>
      </c>
      <c r="N219">
        <f>Table2[[#This Row],[LoanAmount]]/Table2[[#This Row],[Total_Income ]]</f>
        <v>1.0785978228303206E-2</v>
      </c>
      <c r="O219">
        <f>Table2[[#This Row],[LoanAmount]]/Table2[[#This Row],[Loan_Amount_Term]]</f>
        <v>0.36</v>
      </c>
      <c r="P219">
        <f>IF(Table2[[#This Row],[Total_Income ]]&gt;=AVERAGE(Table2[[#This Row],[Total_Income ]]),1,0)</f>
        <v>1</v>
      </c>
    </row>
    <row r="220" spans="1:16">
      <c r="A220" t="s">
        <v>245</v>
      </c>
      <c r="B220" t="s">
        <v>30</v>
      </c>
      <c r="C220" t="s">
        <v>19</v>
      </c>
      <c r="D220" s="1">
        <v>1</v>
      </c>
      <c r="E220" t="s">
        <v>20</v>
      </c>
      <c r="F220" t="s">
        <v>21</v>
      </c>
      <c r="G220">
        <v>3507</v>
      </c>
      <c r="H220">
        <v>3148</v>
      </c>
      <c r="I220">
        <v>149</v>
      </c>
      <c r="J220">
        <v>360</v>
      </c>
      <c r="K220">
        <v>0</v>
      </c>
      <c r="L220" t="s">
        <v>33</v>
      </c>
      <c r="M220">
        <f>Table2[[#This Row],[ApplicantIncome]]+Table2[[#This Row],[CoapplicantIncome]]</f>
        <v>6655</v>
      </c>
      <c r="N220">
        <f>Table2[[#This Row],[LoanAmount]]/Table2[[#This Row],[Total_Income ]]</f>
        <v>2.2389181066867016E-2</v>
      </c>
      <c r="O220">
        <f>Table2[[#This Row],[LoanAmount]]/Table2[[#This Row],[Loan_Amount_Term]]</f>
        <v>0.41388888888888886</v>
      </c>
      <c r="P220">
        <f>IF(Table2[[#This Row],[Total_Income ]]&gt;=AVERAGE(Table2[[#This Row],[Total_Income ]]),1,0)</f>
        <v>1</v>
      </c>
    </row>
    <row r="221" spans="1:16">
      <c r="A221" t="s">
        <v>246</v>
      </c>
      <c r="B221" t="s">
        <v>30</v>
      </c>
      <c r="C221" t="s">
        <v>19</v>
      </c>
      <c r="D221" s="1">
        <v>2</v>
      </c>
      <c r="E221" t="s">
        <v>20</v>
      </c>
      <c r="F221" t="s">
        <v>21</v>
      </c>
      <c r="G221">
        <v>3747</v>
      </c>
      <c r="H221">
        <v>2139</v>
      </c>
      <c r="I221">
        <v>80</v>
      </c>
      <c r="J221">
        <v>360</v>
      </c>
      <c r="K221">
        <v>0</v>
      </c>
      <c r="L221" t="s">
        <v>22</v>
      </c>
      <c r="M221">
        <f>Table2[[#This Row],[ApplicantIncome]]+Table2[[#This Row],[CoapplicantIncome]]</f>
        <v>5886</v>
      </c>
      <c r="N221">
        <f>Table2[[#This Row],[LoanAmount]]/Table2[[#This Row],[Total_Income ]]</f>
        <v>1.3591573224600747E-2</v>
      </c>
      <c r="O221">
        <f>Table2[[#This Row],[LoanAmount]]/Table2[[#This Row],[Loan_Amount_Term]]</f>
        <v>0.22222222222222221</v>
      </c>
      <c r="P221">
        <f>IF(Table2[[#This Row],[Total_Income ]]&gt;=AVERAGE(Table2[[#This Row],[Total_Income ]]),1,0)</f>
        <v>1</v>
      </c>
    </row>
    <row r="222" spans="1:16">
      <c r="A222" t="s">
        <v>247</v>
      </c>
      <c r="B222" t="s">
        <v>30</v>
      </c>
      <c r="C222" t="s">
        <v>19</v>
      </c>
      <c r="D222" s="1">
        <v>0</v>
      </c>
      <c r="E222" t="s">
        <v>20</v>
      </c>
      <c r="F222" t="s">
        <v>19</v>
      </c>
      <c r="G222">
        <v>2166</v>
      </c>
      <c r="H222">
        <v>2166</v>
      </c>
      <c r="I222">
        <v>152</v>
      </c>
      <c r="J222">
        <v>360</v>
      </c>
      <c r="K222">
        <v>1</v>
      </c>
      <c r="L222" t="s">
        <v>22</v>
      </c>
      <c r="M222">
        <f>Table2[[#This Row],[ApplicantIncome]]+Table2[[#This Row],[CoapplicantIncome]]</f>
        <v>4332</v>
      </c>
      <c r="N222">
        <f>Table2[[#This Row],[LoanAmount]]/Table2[[#This Row],[Total_Income ]]</f>
        <v>3.5087719298245612E-2</v>
      </c>
      <c r="O222">
        <f>Table2[[#This Row],[LoanAmount]]/Table2[[#This Row],[Loan_Amount_Term]]</f>
        <v>0.42222222222222222</v>
      </c>
      <c r="P222">
        <f>IF(Table2[[#This Row],[Total_Income ]]&gt;=AVERAGE(Table2[[#This Row],[Total_Income ]]),1,0)</f>
        <v>1</v>
      </c>
    </row>
    <row r="223" spans="1:16">
      <c r="A223" t="s">
        <v>248</v>
      </c>
      <c r="B223" t="s">
        <v>18</v>
      </c>
      <c r="C223" t="s">
        <v>19</v>
      </c>
      <c r="D223" s="1">
        <v>0</v>
      </c>
      <c r="E223" t="s">
        <v>27</v>
      </c>
      <c r="F223" t="s">
        <v>21</v>
      </c>
      <c r="G223">
        <v>3500</v>
      </c>
      <c r="H223">
        <v>2168</v>
      </c>
      <c r="I223">
        <v>187</v>
      </c>
      <c r="J223">
        <v>360</v>
      </c>
      <c r="K223">
        <v>1</v>
      </c>
      <c r="L223" t="s">
        <v>33</v>
      </c>
      <c r="M223">
        <f>Table2[[#This Row],[ApplicantIncome]]+Table2[[#This Row],[CoapplicantIncome]]</f>
        <v>5668</v>
      </c>
      <c r="N223">
        <f>Table2[[#This Row],[LoanAmount]]/Table2[[#This Row],[Total_Income ]]</f>
        <v>3.2992237120677489E-2</v>
      </c>
      <c r="O223">
        <f>Table2[[#This Row],[LoanAmount]]/Table2[[#This Row],[Loan_Amount_Term]]</f>
        <v>0.51944444444444449</v>
      </c>
      <c r="P223">
        <f>IF(Table2[[#This Row],[Total_Income ]]&gt;=AVERAGE(Table2[[#This Row],[Total_Income ]]),1,0)</f>
        <v>1</v>
      </c>
    </row>
    <row r="224" spans="1:16">
      <c r="A224" t="s">
        <v>249</v>
      </c>
      <c r="B224" t="s">
        <v>18</v>
      </c>
      <c r="C224" t="s">
        <v>19</v>
      </c>
      <c r="D224" s="1">
        <v>1</v>
      </c>
      <c r="E224" t="s">
        <v>27</v>
      </c>
      <c r="F224" t="s">
        <v>21</v>
      </c>
      <c r="G224">
        <v>2896</v>
      </c>
      <c r="H224">
        <v>0</v>
      </c>
      <c r="I224">
        <v>74</v>
      </c>
      <c r="J224">
        <v>360</v>
      </c>
      <c r="K224">
        <v>1</v>
      </c>
      <c r="L224" t="s">
        <v>22</v>
      </c>
      <c r="M224">
        <f>Table2[[#This Row],[ApplicantIncome]]+Table2[[#This Row],[CoapplicantIncome]]</f>
        <v>2896</v>
      </c>
      <c r="N224">
        <f>Table2[[#This Row],[LoanAmount]]/Table2[[#This Row],[Total_Income ]]</f>
        <v>2.5552486187845305E-2</v>
      </c>
      <c r="O224">
        <f>Table2[[#This Row],[LoanAmount]]/Table2[[#This Row],[Loan_Amount_Term]]</f>
        <v>0.20555555555555555</v>
      </c>
      <c r="P224">
        <f>IF(Table2[[#This Row],[Total_Income ]]&gt;=AVERAGE(Table2[[#This Row],[Total_Income ]]),1,0)</f>
        <v>1</v>
      </c>
    </row>
    <row r="225" spans="1:16">
      <c r="A225" t="s">
        <v>250</v>
      </c>
      <c r="B225" t="s">
        <v>18</v>
      </c>
      <c r="C225" t="s">
        <v>21</v>
      </c>
      <c r="D225" s="1">
        <v>0</v>
      </c>
      <c r="E225" t="s">
        <v>20</v>
      </c>
      <c r="F225" t="s">
        <v>21</v>
      </c>
      <c r="G225">
        <v>5062</v>
      </c>
      <c r="H225">
        <v>0</v>
      </c>
      <c r="I225">
        <v>102</v>
      </c>
      <c r="J225">
        <v>360</v>
      </c>
      <c r="K225">
        <v>1</v>
      </c>
      <c r="L225" t="s">
        <v>33</v>
      </c>
      <c r="M225">
        <f>Table2[[#This Row],[ApplicantIncome]]+Table2[[#This Row],[CoapplicantIncome]]</f>
        <v>5062</v>
      </c>
      <c r="N225">
        <f>Table2[[#This Row],[LoanAmount]]/Table2[[#This Row],[Total_Income ]]</f>
        <v>2.0150138285262742E-2</v>
      </c>
      <c r="O225">
        <f>Table2[[#This Row],[LoanAmount]]/Table2[[#This Row],[Loan_Amount_Term]]</f>
        <v>0.28333333333333333</v>
      </c>
      <c r="P225">
        <f>IF(Table2[[#This Row],[Total_Income ]]&gt;=AVERAGE(Table2[[#This Row],[Total_Income ]]),1,0)</f>
        <v>1</v>
      </c>
    </row>
    <row r="226" spans="1:16">
      <c r="A226" t="s">
        <v>251</v>
      </c>
      <c r="B226" t="s">
        <v>18</v>
      </c>
      <c r="C226" t="s">
        <v>21</v>
      </c>
      <c r="D226" s="1" t="s">
        <v>39</v>
      </c>
      <c r="E226" t="s">
        <v>20</v>
      </c>
      <c r="F226" t="s">
        <v>21</v>
      </c>
      <c r="G226">
        <v>5184</v>
      </c>
      <c r="H226">
        <v>0</v>
      </c>
      <c r="I226">
        <v>100</v>
      </c>
      <c r="J226">
        <v>360</v>
      </c>
      <c r="K226">
        <v>0</v>
      </c>
      <c r="L226" t="s">
        <v>31</v>
      </c>
      <c r="M226">
        <f>Table2[[#This Row],[ApplicantIncome]]+Table2[[#This Row],[CoapplicantIncome]]</f>
        <v>5184</v>
      </c>
      <c r="N226">
        <f>Table2[[#This Row],[LoanAmount]]/Table2[[#This Row],[Total_Income ]]</f>
        <v>1.9290123456790122E-2</v>
      </c>
      <c r="O226">
        <f>Table2[[#This Row],[LoanAmount]]/Table2[[#This Row],[Loan_Amount_Term]]</f>
        <v>0.27777777777777779</v>
      </c>
      <c r="P226">
        <f>IF(Table2[[#This Row],[Total_Income ]]&gt;=AVERAGE(Table2[[#This Row],[Total_Income ]]),1,0)</f>
        <v>1</v>
      </c>
    </row>
    <row r="227" spans="1:16">
      <c r="A227" t="s">
        <v>252</v>
      </c>
      <c r="B227" t="s">
        <v>18</v>
      </c>
      <c r="C227" t="s">
        <v>21</v>
      </c>
      <c r="D227" s="1">
        <v>0</v>
      </c>
      <c r="E227" t="s">
        <v>20</v>
      </c>
      <c r="F227" t="s">
        <v>21</v>
      </c>
      <c r="G227">
        <v>2545</v>
      </c>
      <c r="H227">
        <v>0</v>
      </c>
      <c r="I227">
        <v>130</v>
      </c>
      <c r="J227">
        <v>360</v>
      </c>
      <c r="K227">
        <v>1</v>
      </c>
      <c r="L227" t="s">
        <v>22</v>
      </c>
      <c r="M227">
        <f>Table2[[#This Row],[ApplicantIncome]]+Table2[[#This Row],[CoapplicantIncome]]</f>
        <v>2545</v>
      </c>
      <c r="N227">
        <f>Table2[[#This Row],[LoanAmount]]/Table2[[#This Row],[Total_Income ]]</f>
        <v>5.1080550098231828E-2</v>
      </c>
      <c r="O227">
        <f>Table2[[#This Row],[LoanAmount]]/Table2[[#This Row],[Loan_Amount_Term]]</f>
        <v>0.3611111111111111</v>
      </c>
      <c r="P227">
        <f>IF(Table2[[#This Row],[Total_Income ]]&gt;=AVERAGE(Table2[[#This Row],[Total_Income ]]),1,0)</f>
        <v>1</v>
      </c>
    </row>
    <row r="228" spans="1:16">
      <c r="A228" t="s">
        <v>253</v>
      </c>
      <c r="B228" t="s">
        <v>18</v>
      </c>
      <c r="C228" t="s">
        <v>19</v>
      </c>
      <c r="D228" s="1">
        <v>0</v>
      </c>
      <c r="E228" t="s">
        <v>20</v>
      </c>
      <c r="F228" t="s">
        <v>21</v>
      </c>
      <c r="G228">
        <v>2553</v>
      </c>
      <c r="H228">
        <v>1768</v>
      </c>
      <c r="I228">
        <v>125</v>
      </c>
      <c r="J228">
        <v>180</v>
      </c>
      <c r="K228">
        <v>0</v>
      </c>
      <c r="L228" t="s">
        <v>22</v>
      </c>
      <c r="M228">
        <f>Table2[[#This Row],[ApplicantIncome]]+Table2[[#This Row],[CoapplicantIncome]]</f>
        <v>4321</v>
      </c>
      <c r="N228">
        <f>Table2[[#This Row],[LoanAmount]]/Table2[[#This Row],[Total_Income ]]</f>
        <v>2.8928488775746355E-2</v>
      </c>
      <c r="O228">
        <f>Table2[[#This Row],[LoanAmount]]/Table2[[#This Row],[Loan_Amount_Term]]</f>
        <v>0.69444444444444442</v>
      </c>
      <c r="P228">
        <f>IF(Table2[[#This Row],[Total_Income ]]&gt;=AVERAGE(Table2[[#This Row],[Total_Income ]]),1,0)</f>
        <v>1</v>
      </c>
    </row>
    <row r="229" spans="1:16">
      <c r="A229" t="s">
        <v>254</v>
      </c>
      <c r="B229" t="s">
        <v>30</v>
      </c>
      <c r="C229" t="s">
        <v>19</v>
      </c>
      <c r="D229" s="1">
        <v>0</v>
      </c>
      <c r="E229" t="s">
        <v>20</v>
      </c>
      <c r="F229" t="s">
        <v>21</v>
      </c>
      <c r="G229">
        <v>3436</v>
      </c>
      <c r="H229">
        <v>3809</v>
      </c>
      <c r="I229">
        <v>130</v>
      </c>
      <c r="J229">
        <v>360</v>
      </c>
      <c r="K229">
        <v>1</v>
      </c>
      <c r="L229" t="s">
        <v>33</v>
      </c>
      <c r="M229">
        <f>Table2[[#This Row],[ApplicantIncome]]+Table2[[#This Row],[CoapplicantIncome]]</f>
        <v>7245</v>
      </c>
      <c r="N229">
        <f>Table2[[#This Row],[LoanAmount]]/Table2[[#This Row],[Total_Income ]]</f>
        <v>1.7943409247757072E-2</v>
      </c>
      <c r="O229">
        <f>Table2[[#This Row],[LoanAmount]]/Table2[[#This Row],[Loan_Amount_Term]]</f>
        <v>0.3611111111111111</v>
      </c>
      <c r="P229">
        <f>IF(Table2[[#This Row],[Total_Income ]]&gt;=AVERAGE(Table2[[#This Row],[Total_Income ]]),1,0)</f>
        <v>1</v>
      </c>
    </row>
    <row r="230" spans="1:16">
      <c r="A230" t="s">
        <v>255</v>
      </c>
      <c r="B230" t="s">
        <v>30</v>
      </c>
      <c r="C230" t="s">
        <v>21</v>
      </c>
      <c r="D230" s="1">
        <v>1</v>
      </c>
      <c r="E230" t="s">
        <v>20</v>
      </c>
      <c r="F230" t="s">
        <v>21</v>
      </c>
      <c r="G230">
        <v>2412</v>
      </c>
      <c r="H230">
        <v>2755</v>
      </c>
      <c r="I230">
        <v>138</v>
      </c>
      <c r="J230">
        <v>360</v>
      </c>
      <c r="K230">
        <v>0</v>
      </c>
      <c r="L230" t="s">
        <v>33</v>
      </c>
      <c r="M230">
        <f>Table2[[#This Row],[ApplicantIncome]]+Table2[[#This Row],[CoapplicantIncome]]</f>
        <v>5167</v>
      </c>
      <c r="N230">
        <f>Table2[[#This Row],[LoanAmount]]/Table2[[#This Row],[Total_Income ]]</f>
        <v>2.6707954325527385E-2</v>
      </c>
      <c r="O230">
        <f>Table2[[#This Row],[LoanAmount]]/Table2[[#This Row],[Loan_Amount_Term]]</f>
        <v>0.38333333333333336</v>
      </c>
      <c r="P230">
        <f>IF(Table2[[#This Row],[Total_Income ]]&gt;=AVERAGE(Table2[[#This Row],[Total_Income ]]),1,0)</f>
        <v>1</v>
      </c>
    </row>
    <row r="231" spans="1:16">
      <c r="A231" t="s">
        <v>256</v>
      </c>
      <c r="B231" t="s">
        <v>18</v>
      </c>
      <c r="C231" t="s">
        <v>19</v>
      </c>
      <c r="D231" s="1">
        <v>0</v>
      </c>
      <c r="E231" t="s">
        <v>27</v>
      </c>
      <c r="F231" t="s">
        <v>21</v>
      </c>
      <c r="G231">
        <v>5180</v>
      </c>
      <c r="H231">
        <v>0</v>
      </c>
      <c r="I231">
        <v>28</v>
      </c>
      <c r="J231">
        <v>360</v>
      </c>
      <c r="K231">
        <v>1</v>
      </c>
      <c r="L231" t="s">
        <v>22</v>
      </c>
      <c r="M231">
        <f>Table2[[#This Row],[ApplicantIncome]]+Table2[[#This Row],[CoapplicantIncome]]</f>
        <v>5180</v>
      </c>
      <c r="N231">
        <f>Table2[[#This Row],[LoanAmount]]/Table2[[#This Row],[Total_Income ]]</f>
        <v>5.4054054054054057E-3</v>
      </c>
      <c r="O231">
        <f>Table2[[#This Row],[LoanAmount]]/Table2[[#This Row],[Loan_Amount_Term]]</f>
        <v>7.7777777777777779E-2</v>
      </c>
      <c r="P231">
        <f>IF(Table2[[#This Row],[Total_Income ]]&gt;=AVERAGE(Table2[[#This Row],[Total_Income ]]),1,0)</f>
        <v>1</v>
      </c>
    </row>
    <row r="232" spans="1:16">
      <c r="A232" t="s">
        <v>257</v>
      </c>
      <c r="B232" t="s">
        <v>30</v>
      </c>
      <c r="C232" t="s">
        <v>21</v>
      </c>
      <c r="D232" s="1">
        <v>0</v>
      </c>
      <c r="E232" t="s">
        <v>20</v>
      </c>
      <c r="F232" t="s">
        <v>21</v>
      </c>
      <c r="G232">
        <v>14911</v>
      </c>
      <c r="H232">
        <v>14507</v>
      </c>
      <c r="I232">
        <v>92</v>
      </c>
      <c r="J232">
        <v>360</v>
      </c>
      <c r="K232">
        <v>1</v>
      </c>
      <c r="L232" t="s">
        <v>31</v>
      </c>
      <c r="M232">
        <f>Table2[[#This Row],[ApplicantIncome]]+Table2[[#This Row],[CoapplicantIncome]]</f>
        <v>29418</v>
      </c>
      <c r="N232">
        <f>Table2[[#This Row],[LoanAmount]]/Table2[[#This Row],[Total_Income ]]</f>
        <v>3.1273370045550343E-3</v>
      </c>
      <c r="O232">
        <f>Table2[[#This Row],[LoanAmount]]/Table2[[#This Row],[Loan_Amount_Term]]</f>
        <v>0.25555555555555554</v>
      </c>
      <c r="P232">
        <f>IF(Table2[[#This Row],[Total_Income ]]&gt;=AVERAGE(Table2[[#This Row],[Total_Income ]]),1,0)</f>
        <v>1</v>
      </c>
    </row>
    <row r="233" spans="1:16">
      <c r="A233" t="s">
        <v>258</v>
      </c>
      <c r="B233" t="s">
        <v>18</v>
      </c>
      <c r="C233" t="s">
        <v>21</v>
      </c>
      <c r="D233" s="1">
        <v>0</v>
      </c>
      <c r="E233" t="s">
        <v>20</v>
      </c>
      <c r="F233" t="s">
        <v>21</v>
      </c>
      <c r="G233">
        <v>2860</v>
      </c>
      <c r="H233">
        <v>2988</v>
      </c>
      <c r="I233">
        <v>104</v>
      </c>
      <c r="J233">
        <v>360</v>
      </c>
      <c r="K233">
        <v>1</v>
      </c>
      <c r="L233" t="s">
        <v>22</v>
      </c>
      <c r="M233">
        <f>Table2[[#This Row],[ApplicantIncome]]+Table2[[#This Row],[CoapplicantIncome]]</f>
        <v>5848</v>
      </c>
      <c r="N233">
        <f>Table2[[#This Row],[LoanAmount]]/Table2[[#This Row],[Total_Income ]]</f>
        <v>1.7783857729138167E-2</v>
      </c>
      <c r="O233">
        <f>Table2[[#This Row],[LoanAmount]]/Table2[[#This Row],[Loan_Amount_Term]]</f>
        <v>0.28888888888888886</v>
      </c>
      <c r="P233">
        <f>IF(Table2[[#This Row],[Total_Income ]]&gt;=AVERAGE(Table2[[#This Row],[Total_Income ]]),1,0)</f>
        <v>1</v>
      </c>
    </row>
    <row r="234" spans="1:16">
      <c r="A234" t="s">
        <v>259</v>
      </c>
      <c r="B234" t="s">
        <v>18</v>
      </c>
      <c r="C234" t="s">
        <v>19</v>
      </c>
      <c r="D234" s="1">
        <v>2</v>
      </c>
      <c r="E234" t="s">
        <v>20</v>
      </c>
      <c r="F234" t="s">
        <v>21</v>
      </c>
      <c r="G234">
        <v>1173</v>
      </c>
      <c r="H234">
        <v>1594</v>
      </c>
      <c r="I234">
        <v>176</v>
      </c>
      <c r="J234">
        <v>360</v>
      </c>
      <c r="K234">
        <v>1</v>
      </c>
      <c r="L234" t="s">
        <v>33</v>
      </c>
      <c r="M234">
        <f>Table2[[#This Row],[ApplicantIncome]]+Table2[[#This Row],[CoapplicantIncome]]</f>
        <v>2767</v>
      </c>
      <c r="N234">
        <f>Table2[[#This Row],[LoanAmount]]/Table2[[#This Row],[Total_Income ]]</f>
        <v>6.3606794362125046E-2</v>
      </c>
      <c r="O234">
        <f>Table2[[#This Row],[LoanAmount]]/Table2[[#This Row],[Loan_Amount_Term]]</f>
        <v>0.48888888888888887</v>
      </c>
      <c r="P234">
        <f>IF(Table2[[#This Row],[Total_Income ]]&gt;=AVERAGE(Table2[[#This Row],[Total_Income ]]),1,0)</f>
        <v>1</v>
      </c>
    </row>
    <row r="235" spans="1:16">
      <c r="A235" t="s">
        <v>260</v>
      </c>
      <c r="B235" t="s">
        <v>18</v>
      </c>
      <c r="C235" t="s">
        <v>21</v>
      </c>
      <c r="D235" s="1">
        <v>2</v>
      </c>
      <c r="E235" t="s">
        <v>20</v>
      </c>
      <c r="F235" t="s">
        <v>21</v>
      </c>
      <c r="G235">
        <v>7600</v>
      </c>
      <c r="H235">
        <v>0</v>
      </c>
      <c r="I235">
        <v>117</v>
      </c>
      <c r="J235">
        <v>480</v>
      </c>
      <c r="K235">
        <v>0</v>
      </c>
      <c r="L235" t="s">
        <v>31</v>
      </c>
      <c r="M235">
        <f>Table2[[#This Row],[ApplicantIncome]]+Table2[[#This Row],[CoapplicantIncome]]</f>
        <v>7600</v>
      </c>
      <c r="N235">
        <f>Table2[[#This Row],[LoanAmount]]/Table2[[#This Row],[Total_Income ]]</f>
        <v>1.5394736842105263E-2</v>
      </c>
      <c r="O235">
        <f>Table2[[#This Row],[LoanAmount]]/Table2[[#This Row],[Loan_Amount_Term]]</f>
        <v>0.24374999999999999</v>
      </c>
      <c r="P235">
        <f>IF(Table2[[#This Row],[Total_Income ]]&gt;=AVERAGE(Table2[[#This Row],[Total_Income ]]),1,0)</f>
        <v>1</v>
      </c>
    </row>
    <row r="236" spans="1:16">
      <c r="A236" t="s">
        <v>261</v>
      </c>
      <c r="B236" t="s">
        <v>18</v>
      </c>
      <c r="C236" t="s">
        <v>19</v>
      </c>
      <c r="D236" s="1">
        <v>0</v>
      </c>
      <c r="E236" t="s">
        <v>20</v>
      </c>
      <c r="F236" t="s">
        <v>19</v>
      </c>
      <c r="G236">
        <v>2157</v>
      </c>
      <c r="H236">
        <v>1788</v>
      </c>
      <c r="I236">
        <v>102</v>
      </c>
      <c r="J236">
        <v>360</v>
      </c>
      <c r="K236">
        <v>1</v>
      </c>
      <c r="L236" t="s">
        <v>22</v>
      </c>
      <c r="M236">
        <f>Table2[[#This Row],[ApplicantIncome]]+Table2[[#This Row],[CoapplicantIncome]]</f>
        <v>3945</v>
      </c>
      <c r="N236">
        <f>Table2[[#This Row],[LoanAmount]]/Table2[[#This Row],[Total_Income ]]</f>
        <v>2.5855513307984791E-2</v>
      </c>
      <c r="O236">
        <f>Table2[[#This Row],[LoanAmount]]/Table2[[#This Row],[Loan_Amount_Term]]</f>
        <v>0.28333333333333333</v>
      </c>
      <c r="P236">
        <f>IF(Table2[[#This Row],[Total_Income ]]&gt;=AVERAGE(Table2[[#This Row],[Total_Income ]]),1,0)</f>
        <v>1</v>
      </c>
    </row>
    <row r="237" spans="1:16">
      <c r="A237" t="s">
        <v>262</v>
      </c>
      <c r="B237" t="s">
        <v>18</v>
      </c>
      <c r="C237" t="s">
        <v>21</v>
      </c>
      <c r="D237" s="1">
        <v>0</v>
      </c>
      <c r="E237" t="s">
        <v>20</v>
      </c>
      <c r="F237" t="s">
        <v>21</v>
      </c>
      <c r="G237">
        <v>2231</v>
      </c>
      <c r="H237">
        <v>2774</v>
      </c>
      <c r="I237">
        <v>107</v>
      </c>
      <c r="J237">
        <v>360</v>
      </c>
      <c r="K237">
        <v>1</v>
      </c>
      <c r="L237" t="s">
        <v>22</v>
      </c>
      <c r="M237">
        <f>Table2[[#This Row],[ApplicantIncome]]+Table2[[#This Row],[CoapplicantIncome]]</f>
        <v>5005</v>
      </c>
      <c r="N237">
        <f>Table2[[#This Row],[LoanAmount]]/Table2[[#This Row],[Total_Income ]]</f>
        <v>2.1378621378621378E-2</v>
      </c>
      <c r="O237">
        <f>Table2[[#This Row],[LoanAmount]]/Table2[[#This Row],[Loan_Amount_Term]]</f>
        <v>0.29722222222222222</v>
      </c>
      <c r="P237">
        <f>IF(Table2[[#This Row],[Total_Income ]]&gt;=AVERAGE(Table2[[#This Row],[Total_Income ]]),1,0)</f>
        <v>1</v>
      </c>
    </row>
    <row r="238" spans="1:16">
      <c r="A238" t="s">
        <v>263</v>
      </c>
      <c r="B238" t="s">
        <v>18</v>
      </c>
      <c r="C238" t="s">
        <v>21</v>
      </c>
      <c r="D238" s="1">
        <v>0</v>
      </c>
      <c r="E238" t="s">
        <v>20</v>
      </c>
      <c r="F238" t="s">
        <v>19</v>
      </c>
      <c r="G238">
        <v>2274</v>
      </c>
      <c r="H238">
        <v>5211</v>
      </c>
      <c r="I238">
        <v>66</v>
      </c>
      <c r="J238">
        <v>360</v>
      </c>
      <c r="K238">
        <v>1</v>
      </c>
      <c r="L238" t="s">
        <v>31</v>
      </c>
      <c r="M238">
        <f>Table2[[#This Row],[ApplicantIncome]]+Table2[[#This Row],[CoapplicantIncome]]</f>
        <v>7485</v>
      </c>
      <c r="N238">
        <f>Table2[[#This Row],[LoanAmount]]/Table2[[#This Row],[Total_Income ]]</f>
        <v>8.8176352705410816E-3</v>
      </c>
      <c r="O238">
        <f>Table2[[#This Row],[LoanAmount]]/Table2[[#This Row],[Loan_Amount_Term]]</f>
        <v>0.18333333333333332</v>
      </c>
      <c r="P238">
        <f>IF(Table2[[#This Row],[Total_Income ]]&gt;=AVERAGE(Table2[[#This Row],[Total_Income ]]),1,0)</f>
        <v>1</v>
      </c>
    </row>
    <row r="239" spans="1:16">
      <c r="A239" t="s">
        <v>264</v>
      </c>
      <c r="B239" t="s">
        <v>18</v>
      </c>
      <c r="C239" t="s">
        <v>19</v>
      </c>
      <c r="D239" s="1">
        <v>0</v>
      </c>
      <c r="E239" t="s">
        <v>27</v>
      </c>
      <c r="F239" t="s">
        <v>21</v>
      </c>
      <c r="G239">
        <v>6166</v>
      </c>
      <c r="H239">
        <v>13983</v>
      </c>
      <c r="I239">
        <v>105</v>
      </c>
      <c r="J239">
        <v>360</v>
      </c>
      <c r="K239">
        <v>1</v>
      </c>
      <c r="L239" t="s">
        <v>33</v>
      </c>
      <c r="M239">
        <f>Table2[[#This Row],[ApplicantIncome]]+Table2[[#This Row],[CoapplicantIncome]]</f>
        <v>20149</v>
      </c>
      <c r="N239">
        <f>Table2[[#This Row],[LoanAmount]]/Table2[[#This Row],[Total_Income ]]</f>
        <v>5.2111767333366419E-3</v>
      </c>
      <c r="O239">
        <f>Table2[[#This Row],[LoanAmount]]/Table2[[#This Row],[Loan_Amount_Term]]</f>
        <v>0.29166666666666669</v>
      </c>
      <c r="P239">
        <f>IF(Table2[[#This Row],[Total_Income ]]&gt;=AVERAGE(Table2[[#This Row],[Total_Income ]]),1,0)</f>
        <v>1</v>
      </c>
    </row>
    <row r="240" spans="1:16">
      <c r="A240" t="s">
        <v>265</v>
      </c>
      <c r="B240" t="s">
        <v>30</v>
      </c>
      <c r="C240" t="s">
        <v>19</v>
      </c>
      <c r="D240" s="1">
        <v>0</v>
      </c>
      <c r="E240" t="s">
        <v>27</v>
      </c>
      <c r="F240" t="s">
        <v>21</v>
      </c>
      <c r="G240">
        <v>2513</v>
      </c>
      <c r="H240">
        <v>1110</v>
      </c>
      <c r="I240">
        <v>105</v>
      </c>
      <c r="J240">
        <v>360</v>
      </c>
      <c r="K240">
        <v>0</v>
      </c>
      <c r="L240" t="s">
        <v>31</v>
      </c>
      <c r="M240">
        <f>Table2[[#This Row],[ApplicantIncome]]+Table2[[#This Row],[CoapplicantIncome]]</f>
        <v>3623</v>
      </c>
      <c r="N240">
        <f>Table2[[#This Row],[LoanAmount]]/Table2[[#This Row],[Total_Income ]]</f>
        <v>2.8981507038365995E-2</v>
      </c>
      <c r="O240">
        <f>Table2[[#This Row],[LoanAmount]]/Table2[[#This Row],[Loan_Amount_Term]]</f>
        <v>0.29166666666666669</v>
      </c>
      <c r="P240">
        <f>IF(Table2[[#This Row],[Total_Income ]]&gt;=AVERAGE(Table2[[#This Row],[Total_Income ]]),1,0)</f>
        <v>1</v>
      </c>
    </row>
    <row r="241" spans="1:16">
      <c r="A241" t="s">
        <v>266</v>
      </c>
      <c r="B241" t="s">
        <v>18</v>
      </c>
      <c r="C241" t="s">
        <v>21</v>
      </c>
      <c r="D241" s="1">
        <v>0</v>
      </c>
      <c r="E241" t="s">
        <v>20</v>
      </c>
      <c r="F241" t="s">
        <v>21</v>
      </c>
      <c r="G241">
        <v>4333</v>
      </c>
      <c r="H241">
        <v>0</v>
      </c>
      <c r="I241">
        <v>105</v>
      </c>
      <c r="J241">
        <v>180</v>
      </c>
      <c r="K241">
        <v>1</v>
      </c>
      <c r="L241" t="s">
        <v>22</v>
      </c>
      <c r="M241">
        <f>Table2[[#This Row],[ApplicantIncome]]+Table2[[#This Row],[CoapplicantIncome]]</f>
        <v>4333</v>
      </c>
      <c r="N241">
        <f>Table2[[#This Row],[LoanAmount]]/Table2[[#This Row],[Total_Income ]]</f>
        <v>2.4232633279483037E-2</v>
      </c>
      <c r="O241">
        <f>Table2[[#This Row],[LoanAmount]]/Table2[[#This Row],[Loan_Amount_Term]]</f>
        <v>0.58333333333333337</v>
      </c>
      <c r="P241">
        <f>IF(Table2[[#This Row],[Total_Income ]]&gt;=AVERAGE(Table2[[#This Row],[Total_Income ]]),1,0)</f>
        <v>1</v>
      </c>
    </row>
    <row r="242" spans="1:16">
      <c r="A242" t="s">
        <v>267</v>
      </c>
      <c r="B242" t="s">
        <v>18</v>
      </c>
      <c r="C242" t="s">
        <v>21</v>
      </c>
      <c r="D242" s="1">
        <v>0</v>
      </c>
      <c r="E242" t="s">
        <v>27</v>
      </c>
      <c r="F242" t="s">
        <v>21</v>
      </c>
      <c r="G242">
        <v>3844</v>
      </c>
      <c r="H242">
        <v>0</v>
      </c>
      <c r="I242">
        <v>125</v>
      </c>
      <c r="J242">
        <v>360</v>
      </c>
      <c r="K242">
        <v>1</v>
      </c>
      <c r="L242" t="s">
        <v>22</v>
      </c>
      <c r="M242">
        <f>Table2[[#This Row],[ApplicantIncome]]+Table2[[#This Row],[CoapplicantIncome]]</f>
        <v>3844</v>
      </c>
      <c r="N242">
        <f>Table2[[#This Row],[LoanAmount]]/Table2[[#This Row],[Total_Income ]]</f>
        <v>3.2518210197710715E-2</v>
      </c>
      <c r="O242">
        <f>Table2[[#This Row],[LoanAmount]]/Table2[[#This Row],[Loan_Amount_Term]]</f>
        <v>0.34722222222222221</v>
      </c>
      <c r="P242">
        <f>IF(Table2[[#This Row],[Total_Income ]]&gt;=AVERAGE(Table2[[#This Row],[Total_Income ]]),1,0)</f>
        <v>1</v>
      </c>
    </row>
    <row r="243" spans="1:16">
      <c r="A243" t="s">
        <v>268</v>
      </c>
      <c r="B243" t="s">
        <v>18</v>
      </c>
      <c r="C243" t="s">
        <v>19</v>
      </c>
      <c r="D243" s="1">
        <v>2</v>
      </c>
      <c r="E243" t="s">
        <v>20</v>
      </c>
      <c r="F243" t="s">
        <v>21</v>
      </c>
      <c r="G243">
        <v>3887</v>
      </c>
      <c r="H243">
        <v>1517</v>
      </c>
      <c r="I243">
        <v>64</v>
      </c>
      <c r="J243">
        <v>360</v>
      </c>
      <c r="K243">
        <v>1</v>
      </c>
      <c r="L243" t="s">
        <v>31</v>
      </c>
      <c r="M243">
        <f>Table2[[#This Row],[ApplicantIncome]]+Table2[[#This Row],[CoapplicantIncome]]</f>
        <v>5404</v>
      </c>
      <c r="N243">
        <f>Table2[[#This Row],[LoanAmount]]/Table2[[#This Row],[Total_Income ]]</f>
        <v>1.1843079200592153E-2</v>
      </c>
      <c r="O243">
        <f>Table2[[#This Row],[LoanAmount]]/Table2[[#This Row],[Loan_Amount_Term]]</f>
        <v>0.17777777777777778</v>
      </c>
      <c r="P243">
        <f>IF(Table2[[#This Row],[Total_Income ]]&gt;=AVERAGE(Table2[[#This Row],[Total_Income ]]),1,0)</f>
        <v>1</v>
      </c>
    </row>
    <row r="244" spans="1:16">
      <c r="A244" t="s">
        <v>269</v>
      </c>
      <c r="B244" t="s">
        <v>18</v>
      </c>
      <c r="C244" t="s">
        <v>19</v>
      </c>
      <c r="D244" s="1">
        <v>0</v>
      </c>
      <c r="E244" t="s">
        <v>20</v>
      </c>
      <c r="F244" t="s">
        <v>21</v>
      </c>
      <c r="G244">
        <v>3510</v>
      </c>
      <c r="H244">
        <v>828</v>
      </c>
      <c r="I244">
        <v>150</v>
      </c>
      <c r="J244">
        <v>360</v>
      </c>
      <c r="K244">
        <v>1</v>
      </c>
      <c r="L244" t="s">
        <v>31</v>
      </c>
      <c r="M244">
        <f>Table2[[#This Row],[ApplicantIncome]]+Table2[[#This Row],[CoapplicantIncome]]</f>
        <v>4338</v>
      </c>
      <c r="N244">
        <f>Table2[[#This Row],[LoanAmount]]/Table2[[#This Row],[Total_Income ]]</f>
        <v>3.4578146611341634E-2</v>
      </c>
      <c r="O244">
        <f>Table2[[#This Row],[LoanAmount]]/Table2[[#This Row],[Loan_Amount_Term]]</f>
        <v>0.41666666666666669</v>
      </c>
      <c r="P244">
        <f>IF(Table2[[#This Row],[Total_Income ]]&gt;=AVERAGE(Table2[[#This Row],[Total_Income ]]),1,0)</f>
        <v>1</v>
      </c>
    </row>
    <row r="245" spans="1:16">
      <c r="A245" t="s">
        <v>270</v>
      </c>
      <c r="B245" t="s">
        <v>18</v>
      </c>
      <c r="C245" t="s">
        <v>19</v>
      </c>
      <c r="D245" s="1">
        <v>0</v>
      </c>
      <c r="E245" t="s">
        <v>20</v>
      </c>
      <c r="F245" t="s">
        <v>21</v>
      </c>
      <c r="G245">
        <v>2539</v>
      </c>
      <c r="H245">
        <v>1704</v>
      </c>
      <c r="I245">
        <v>150</v>
      </c>
      <c r="J245">
        <v>180</v>
      </c>
      <c r="K245">
        <v>1</v>
      </c>
      <c r="L245" t="s">
        <v>33</v>
      </c>
      <c r="M245">
        <f>Table2[[#This Row],[ApplicantIncome]]+Table2[[#This Row],[CoapplicantIncome]]</f>
        <v>4243</v>
      </c>
      <c r="N245">
        <f>Table2[[#This Row],[LoanAmount]]/Table2[[#This Row],[Total_Income ]]</f>
        <v>3.5352345038887581E-2</v>
      </c>
      <c r="O245">
        <f>Table2[[#This Row],[LoanAmount]]/Table2[[#This Row],[Loan_Amount_Term]]</f>
        <v>0.83333333333333337</v>
      </c>
      <c r="P245">
        <f>IF(Table2[[#This Row],[Total_Income ]]&gt;=AVERAGE(Table2[[#This Row],[Total_Income ]]),1,0)</f>
        <v>1</v>
      </c>
    </row>
    <row r="246" spans="1:16">
      <c r="A246" t="s">
        <v>271</v>
      </c>
      <c r="B246" t="s">
        <v>18</v>
      </c>
      <c r="C246" t="s">
        <v>21</v>
      </c>
      <c r="D246" s="1" t="s">
        <v>39</v>
      </c>
      <c r="E246" t="s">
        <v>27</v>
      </c>
      <c r="F246" t="s">
        <v>21</v>
      </c>
      <c r="G246">
        <v>2107</v>
      </c>
      <c r="H246">
        <v>0</v>
      </c>
      <c r="I246">
        <v>64</v>
      </c>
      <c r="J246">
        <v>480</v>
      </c>
      <c r="K246">
        <v>1</v>
      </c>
      <c r="L246" t="s">
        <v>31</v>
      </c>
      <c r="M246">
        <f>Table2[[#This Row],[ApplicantIncome]]+Table2[[#This Row],[CoapplicantIncome]]</f>
        <v>2107</v>
      </c>
      <c r="N246">
        <f>Table2[[#This Row],[LoanAmount]]/Table2[[#This Row],[Total_Income ]]</f>
        <v>3.0374940673943997E-2</v>
      </c>
      <c r="O246">
        <f>Table2[[#This Row],[LoanAmount]]/Table2[[#This Row],[Loan_Amount_Term]]</f>
        <v>0.13333333333333333</v>
      </c>
      <c r="P246">
        <f>IF(Table2[[#This Row],[Total_Income ]]&gt;=AVERAGE(Table2[[#This Row],[Total_Income ]]),1,0)</f>
        <v>1</v>
      </c>
    </row>
    <row r="247" spans="1:16">
      <c r="A247" t="s">
        <v>272</v>
      </c>
      <c r="B247" t="s">
        <v>30</v>
      </c>
      <c r="C247" t="s">
        <v>19</v>
      </c>
      <c r="D247" s="1">
        <v>1</v>
      </c>
      <c r="E247" t="s">
        <v>20</v>
      </c>
      <c r="F247" t="s">
        <v>21</v>
      </c>
      <c r="G247">
        <v>3186</v>
      </c>
      <c r="H247">
        <v>3145</v>
      </c>
      <c r="I247">
        <v>40</v>
      </c>
      <c r="J247">
        <v>300</v>
      </c>
      <c r="K247">
        <v>1</v>
      </c>
      <c r="L247" t="s">
        <v>31</v>
      </c>
      <c r="M247">
        <f>Table2[[#This Row],[ApplicantIncome]]+Table2[[#This Row],[CoapplicantIncome]]</f>
        <v>6331</v>
      </c>
      <c r="N247">
        <f>Table2[[#This Row],[LoanAmount]]/Table2[[#This Row],[Total_Income ]]</f>
        <v>6.31811720107408E-3</v>
      </c>
      <c r="O247">
        <f>Table2[[#This Row],[LoanAmount]]/Table2[[#This Row],[Loan_Amount_Term]]</f>
        <v>0.13333333333333333</v>
      </c>
      <c r="P247">
        <f>IF(Table2[[#This Row],[Total_Income ]]&gt;=AVERAGE(Table2[[#This Row],[Total_Income ]]),1,0)</f>
        <v>1</v>
      </c>
    </row>
    <row r="248" spans="1:16">
      <c r="A248" t="s">
        <v>273</v>
      </c>
      <c r="B248" t="s">
        <v>18</v>
      </c>
      <c r="C248" t="s">
        <v>19</v>
      </c>
      <c r="D248" s="1">
        <v>2</v>
      </c>
      <c r="E248" t="s">
        <v>20</v>
      </c>
      <c r="F248" t="s">
        <v>21</v>
      </c>
      <c r="G248">
        <v>5000</v>
      </c>
      <c r="H248">
        <v>2166</v>
      </c>
      <c r="I248">
        <v>142</v>
      </c>
      <c r="J248">
        <v>360</v>
      </c>
      <c r="K248">
        <v>0</v>
      </c>
      <c r="L248" t="s">
        <v>22</v>
      </c>
      <c r="M248">
        <f>Table2[[#This Row],[ApplicantIncome]]+Table2[[#This Row],[CoapplicantIncome]]</f>
        <v>7166</v>
      </c>
      <c r="N248">
        <f>Table2[[#This Row],[LoanAmount]]/Table2[[#This Row],[Total_Income ]]</f>
        <v>1.9815796818308681E-2</v>
      </c>
      <c r="O248">
        <f>Table2[[#This Row],[LoanAmount]]/Table2[[#This Row],[Loan_Amount_Term]]</f>
        <v>0.39444444444444443</v>
      </c>
      <c r="P248">
        <f>IF(Table2[[#This Row],[Total_Income ]]&gt;=AVERAGE(Table2[[#This Row],[Total_Income ]]),1,0)</f>
        <v>1</v>
      </c>
    </row>
    <row r="249" spans="1:16">
      <c r="A249" t="s">
        <v>274</v>
      </c>
      <c r="B249" t="s">
        <v>30</v>
      </c>
      <c r="C249" t="s">
        <v>19</v>
      </c>
      <c r="D249" s="1">
        <v>1</v>
      </c>
      <c r="E249" t="s">
        <v>20</v>
      </c>
      <c r="F249" t="s">
        <v>21</v>
      </c>
      <c r="G249">
        <v>10000</v>
      </c>
      <c r="H249">
        <v>0</v>
      </c>
      <c r="I249">
        <v>70</v>
      </c>
      <c r="J249">
        <v>360</v>
      </c>
      <c r="K249">
        <v>1</v>
      </c>
      <c r="L249" t="s">
        <v>22</v>
      </c>
      <c r="M249">
        <f>Table2[[#This Row],[ApplicantIncome]]+Table2[[#This Row],[CoapplicantIncome]]</f>
        <v>10000</v>
      </c>
      <c r="N249">
        <f>Table2[[#This Row],[LoanAmount]]/Table2[[#This Row],[Total_Income ]]</f>
        <v>7.0000000000000001E-3</v>
      </c>
      <c r="O249">
        <f>Table2[[#This Row],[LoanAmount]]/Table2[[#This Row],[Loan_Amount_Term]]</f>
        <v>0.19444444444444445</v>
      </c>
      <c r="P249">
        <f>IF(Table2[[#This Row],[Total_Income ]]&gt;=AVERAGE(Table2[[#This Row],[Total_Income ]]),1,0)</f>
        <v>1</v>
      </c>
    </row>
    <row r="250" spans="1:16">
      <c r="A250" t="s">
        <v>275</v>
      </c>
      <c r="B250" t="s">
        <v>18</v>
      </c>
      <c r="C250" t="s">
        <v>19</v>
      </c>
      <c r="D250" s="1">
        <v>0</v>
      </c>
      <c r="E250" t="s">
        <v>27</v>
      </c>
      <c r="F250" t="s">
        <v>21</v>
      </c>
      <c r="G250">
        <v>3943</v>
      </c>
      <c r="H250">
        <v>0</v>
      </c>
      <c r="I250">
        <v>131</v>
      </c>
      <c r="J250">
        <v>360</v>
      </c>
      <c r="K250">
        <v>0</v>
      </c>
      <c r="L250" t="s">
        <v>31</v>
      </c>
      <c r="M250">
        <f>Table2[[#This Row],[ApplicantIncome]]+Table2[[#This Row],[CoapplicantIncome]]</f>
        <v>3943</v>
      </c>
      <c r="N250">
        <f>Table2[[#This Row],[LoanAmount]]/Table2[[#This Row],[Total_Income ]]</f>
        <v>3.3223433933553134E-2</v>
      </c>
      <c r="O250">
        <f>Table2[[#This Row],[LoanAmount]]/Table2[[#This Row],[Loan_Amount_Term]]</f>
        <v>0.36388888888888887</v>
      </c>
      <c r="P250">
        <f>IF(Table2[[#This Row],[Total_Income ]]&gt;=AVERAGE(Table2[[#This Row],[Total_Income ]]),1,0)</f>
        <v>1</v>
      </c>
    </row>
    <row r="251" spans="1:16">
      <c r="A251" t="s">
        <v>276</v>
      </c>
      <c r="B251" t="s">
        <v>30</v>
      </c>
      <c r="C251" t="s">
        <v>21</v>
      </c>
      <c r="D251" s="1">
        <v>0</v>
      </c>
      <c r="E251" t="s">
        <v>20</v>
      </c>
      <c r="F251" t="s">
        <v>21</v>
      </c>
      <c r="G251">
        <v>2925</v>
      </c>
      <c r="H251">
        <v>0</v>
      </c>
      <c r="I251">
        <v>120</v>
      </c>
      <c r="J251">
        <v>360</v>
      </c>
      <c r="K251">
        <v>1</v>
      </c>
      <c r="L251" t="s">
        <v>33</v>
      </c>
      <c r="M251">
        <f>Table2[[#This Row],[ApplicantIncome]]+Table2[[#This Row],[CoapplicantIncome]]</f>
        <v>2925</v>
      </c>
      <c r="N251">
        <f>Table2[[#This Row],[LoanAmount]]/Table2[[#This Row],[Total_Income ]]</f>
        <v>4.1025641025641026E-2</v>
      </c>
      <c r="O251">
        <f>Table2[[#This Row],[LoanAmount]]/Table2[[#This Row],[Loan_Amount_Term]]</f>
        <v>0.33333333333333331</v>
      </c>
      <c r="P251">
        <f>IF(Table2[[#This Row],[Total_Income ]]&gt;=AVERAGE(Table2[[#This Row],[Total_Income ]]),1,0)</f>
        <v>1</v>
      </c>
    </row>
    <row r="252" spans="1:16">
      <c r="A252" t="s">
        <v>277</v>
      </c>
      <c r="B252" t="s">
        <v>18</v>
      </c>
      <c r="C252" t="s">
        <v>19</v>
      </c>
      <c r="D252" s="1">
        <v>0</v>
      </c>
      <c r="E252" t="s">
        <v>20</v>
      </c>
      <c r="F252" t="s">
        <v>21</v>
      </c>
      <c r="G252">
        <v>3242</v>
      </c>
      <c r="H252">
        <v>437</v>
      </c>
      <c r="I252">
        <v>114</v>
      </c>
      <c r="J252">
        <v>360</v>
      </c>
      <c r="K252">
        <v>1</v>
      </c>
      <c r="L252" t="s">
        <v>22</v>
      </c>
      <c r="M252">
        <f>Table2[[#This Row],[ApplicantIncome]]+Table2[[#This Row],[CoapplicantIncome]]</f>
        <v>3679</v>
      </c>
      <c r="N252">
        <f>Table2[[#This Row],[LoanAmount]]/Table2[[#This Row],[Total_Income ]]</f>
        <v>3.0986681163359609E-2</v>
      </c>
      <c r="O252">
        <f>Table2[[#This Row],[LoanAmount]]/Table2[[#This Row],[Loan_Amount_Term]]</f>
        <v>0.31666666666666665</v>
      </c>
      <c r="P252">
        <f>IF(Table2[[#This Row],[Total_Income ]]&gt;=AVERAGE(Table2[[#This Row],[Total_Income ]]),1,0)</f>
        <v>1</v>
      </c>
    </row>
    <row r="253" spans="1:16">
      <c r="A253" t="s">
        <v>278</v>
      </c>
      <c r="B253" t="s">
        <v>18</v>
      </c>
      <c r="C253" t="s">
        <v>19</v>
      </c>
      <c r="D253" s="1">
        <v>0</v>
      </c>
      <c r="E253" t="s">
        <v>20</v>
      </c>
      <c r="F253" t="s">
        <v>21</v>
      </c>
      <c r="G253">
        <v>3863</v>
      </c>
      <c r="H253">
        <v>0</v>
      </c>
      <c r="I253">
        <v>123</v>
      </c>
      <c r="J253">
        <v>360</v>
      </c>
      <c r="K253">
        <v>1</v>
      </c>
      <c r="L253" t="s">
        <v>31</v>
      </c>
      <c r="M253">
        <f>Table2[[#This Row],[ApplicantIncome]]+Table2[[#This Row],[CoapplicantIncome]]</f>
        <v>3863</v>
      </c>
      <c r="N253">
        <f>Table2[[#This Row],[LoanAmount]]/Table2[[#This Row],[Total_Income ]]</f>
        <v>3.1840538441625682E-2</v>
      </c>
      <c r="O253">
        <f>Table2[[#This Row],[LoanAmount]]/Table2[[#This Row],[Loan_Amount_Term]]</f>
        <v>0.34166666666666667</v>
      </c>
      <c r="P253">
        <f>IF(Table2[[#This Row],[Total_Income ]]&gt;=AVERAGE(Table2[[#This Row],[Total_Income ]]),1,0)</f>
        <v>1</v>
      </c>
    </row>
    <row r="254" spans="1:16">
      <c r="A254" t="s">
        <v>279</v>
      </c>
      <c r="B254" t="s">
        <v>30</v>
      </c>
      <c r="C254" t="s">
        <v>21</v>
      </c>
      <c r="D254" s="1">
        <v>1</v>
      </c>
      <c r="E254" t="s">
        <v>20</v>
      </c>
      <c r="F254" t="s">
        <v>21</v>
      </c>
      <c r="G254">
        <v>4028</v>
      </c>
      <c r="H254">
        <v>0</v>
      </c>
      <c r="I254">
        <v>92</v>
      </c>
      <c r="J254">
        <v>360</v>
      </c>
      <c r="K254">
        <v>1</v>
      </c>
      <c r="L254" t="s">
        <v>31</v>
      </c>
      <c r="M254">
        <f>Table2[[#This Row],[ApplicantIncome]]+Table2[[#This Row],[CoapplicantIncome]]</f>
        <v>4028</v>
      </c>
      <c r="N254">
        <f>Table2[[#This Row],[LoanAmount]]/Table2[[#This Row],[Total_Income ]]</f>
        <v>2.2840119165839126E-2</v>
      </c>
      <c r="O254">
        <f>Table2[[#This Row],[LoanAmount]]/Table2[[#This Row],[Loan_Amount_Term]]</f>
        <v>0.25555555555555554</v>
      </c>
      <c r="P254">
        <f>IF(Table2[[#This Row],[Total_Income ]]&gt;=AVERAGE(Table2[[#This Row],[Total_Income ]]),1,0)</f>
        <v>1</v>
      </c>
    </row>
    <row r="255" spans="1:16">
      <c r="A255" t="s">
        <v>280</v>
      </c>
      <c r="B255" t="s">
        <v>18</v>
      </c>
      <c r="C255" t="s">
        <v>19</v>
      </c>
      <c r="D255" s="1" t="s">
        <v>39</v>
      </c>
      <c r="E255" t="s">
        <v>20</v>
      </c>
      <c r="F255" t="s">
        <v>21</v>
      </c>
      <c r="G255">
        <v>4010</v>
      </c>
      <c r="H255">
        <v>1025</v>
      </c>
      <c r="I255">
        <v>160</v>
      </c>
      <c r="J255">
        <v>360</v>
      </c>
      <c r="K255">
        <v>0</v>
      </c>
      <c r="L255" t="s">
        <v>22</v>
      </c>
      <c r="M255">
        <f>Table2[[#This Row],[ApplicantIncome]]+Table2[[#This Row],[CoapplicantIncome]]</f>
        <v>5035</v>
      </c>
      <c r="N255">
        <f>Table2[[#This Row],[LoanAmount]]/Table2[[#This Row],[Total_Income ]]</f>
        <v>3.1777557100297914E-2</v>
      </c>
      <c r="O255">
        <f>Table2[[#This Row],[LoanAmount]]/Table2[[#This Row],[Loan_Amount_Term]]</f>
        <v>0.44444444444444442</v>
      </c>
      <c r="P255">
        <f>IF(Table2[[#This Row],[Total_Income ]]&gt;=AVERAGE(Table2[[#This Row],[Total_Income ]]),1,0)</f>
        <v>1</v>
      </c>
    </row>
    <row r="256" spans="1:16">
      <c r="A256" t="s">
        <v>281</v>
      </c>
      <c r="B256" t="s">
        <v>18</v>
      </c>
      <c r="C256" t="s">
        <v>19</v>
      </c>
      <c r="D256" s="1">
        <v>0</v>
      </c>
      <c r="E256" t="s">
        <v>20</v>
      </c>
      <c r="F256" t="s">
        <v>21</v>
      </c>
      <c r="G256">
        <v>3719</v>
      </c>
      <c r="H256">
        <v>1585</v>
      </c>
      <c r="I256">
        <v>151</v>
      </c>
      <c r="J256">
        <v>360</v>
      </c>
      <c r="K256">
        <v>0</v>
      </c>
      <c r="L256" t="s">
        <v>22</v>
      </c>
      <c r="M256">
        <f>Table2[[#This Row],[ApplicantIncome]]+Table2[[#This Row],[CoapplicantIncome]]</f>
        <v>5304</v>
      </c>
      <c r="N256">
        <f>Table2[[#This Row],[LoanAmount]]/Table2[[#This Row],[Total_Income ]]</f>
        <v>2.8469079939668174E-2</v>
      </c>
      <c r="O256">
        <f>Table2[[#This Row],[LoanAmount]]/Table2[[#This Row],[Loan_Amount_Term]]</f>
        <v>0.41944444444444445</v>
      </c>
      <c r="P256">
        <f>IF(Table2[[#This Row],[Total_Income ]]&gt;=AVERAGE(Table2[[#This Row],[Total_Income ]]),1,0)</f>
        <v>1</v>
      </c>
    </row>
    <row r="257" spans="1:16">
      <c r="A257" t="s">
        <v>282</v>
      </c>
      <c r="B257" t="s">
        <v>18</v>
      </c>
      <c r="C257" t="s">
        <v>21</v>
      </c>
      <c r="D257" s="1">
        <v>0</v>
      </c>
      <c r="E257" t="s">
        <v>20</v>
      </c>
      <c r="F257" t="s">
        <v>21</v>
      </c>
      <c r="G257">
        <v>2858</v>
      </c>
      <c r="H257">
        <v>0</v>
      </c>
      <c r="I257">
        <v>81</v>
      </c>
      <c r="J257">
        <v>360</v>
      </c>
      <c r="K257">
        <v>1</v>
      </c>
      <c r="L257" t="s">
        <v>33</v>
      </c>
      <c r="M257">
        <f>Table2[[#This Row],[ApplicantIncome]]+Table2[[#This Row],[CoapplicantIncome]]</f>
        <v>2858</v>
      </c>
      <c r="N257">
        <f>Table2[[#This Row],[LoanAmount]]/Table2[[#This Row],[Total_Income ]]</f>
        <v>2.8341497550734781E-2</v>
      </c>
      <c r="O257">
        <f>Table2[[#This Row],[LoanAmount]]/Table2[[#This Row],[Loan_Amount_Term]]</f>
        <v>0.22500000000000001</v>
      </c>
      <c r="P257">
        <f>IF(Table2[[#This Row],[Total_Income ]]&gt;=AVERAGE(Table2[[#This Row],[Total_Income ]]),1,0)</f>
        <v>1</v>
      </c>
    </row>
    <row r="258" spans="1:16">
      <c r="A258" t="s">
        <v>283</v>
      </c>
      <c r="B258" t="s">
        <v>18</v>
      </c>
      <c r="C258" t="s">
        <v>19</v>
      </c>
      <c r="D258" s="1">
        <v>1</v>
      </c>
      <c r="E258" t="s">
        <v>20</v>
      </c>
      <c r="F258" t="s">
        <v>21</v>
      </c>
      <c r="G258">
        <v>3833</v>
      </c>
      <c r="H258">
        <v>0</v>
      </c>
      <c r="I258">
        <v>171</v>
      </c>
      <c r="J258">
        <v>360</v>
      </c>
      <c r="K258">
        <v>1</v>
      </c>
      <c r="L258" t="s">
        <v>33</v>
      </c>
      <c r="M258">
        <f>Table2[[#This Row],[ApplicantIncome]]+Table2[[#This Row],[CoapplicantIncome]]</f>
        <v>3833</v>
      </c>
      <c r="N258">
        <f>Table2[[#This Row],[LoanAmount]]/Table2[[#This Row],[Total_Income ]]</f>
        <v>4.4612575006522305E-2</v>
      </c>
      <c r="O258">
        <f>Table2[[#This Row],[LoanAmount]]/Table2[[#This Row],[Loan_Amount_Term]]</f>
        <v>0.47499999999999998</v>
      </c>
      <c r="P258">
        <f>IF(Table2[[#This Row],[Total_Income ]]&gt;=AVERAGE(Table2[[#This Row],[Total_Income ]]),1,0)</f>
        <v>1</v>
      </c>
    </row>
    <row r="259" spans="1:16">
      <c r="A259" t="s">
        <v>284</v>
      </c>
      <c r="B259" t="s">
        <v>18</v>
      </c>
      <c r="C259" t="s">
        <v>19</v>
      </c>
      <c r="D259" s="1">
        <v>2</v>
      </c>
      <c r="E259" t="s">
        <v>20</v>
      </c>
      <c r="F259" t="s">
        <v>19</v>
      </c>
      <c r="G259">
        <v>3333</v>
      </c>
      <c r="H259">
        <v>4288</v>
      </c>
      <c r="I259">
        <v>110</v>
      </c>
      <c r="J259">
        <v>360</v>
      </c>
      <c r="K259">
        <v>1</v>
      </c>
      <c r="L259" t="s">
        <v>22</v>
      </c>
      <c r="M259">
        <f>Table2[[#This Row],[ApplicantIncome]]+Table2[[#This Row],[CoapplicantIncome]]</f>
        <v>7621</v>
      </c>
      <c r="N259">
        <f>Table2[[#This Row],[LoanAmount]]/Table2[[#This Row],[Total_Income ]]</f>
        <v>1.4433801338407033E-2</v>
      </c>
      <c r="O259">
        <f>Table2[[#This Row],[LoanAmount]]/Table2[[#This Row],[Loan_Amount_Term]]</f>
        <v>0.30555555555555558</v>
      </c>
      <c r="P259">
        <f>IF(Table2[[#This Row],[Total_Income ]]&gt;=AVERAGE(Table2[[#This Row],[Total_Income ]]),1,0)</f>
        <v>1</v>
      </c>
    </row>
    <row r="260" spans="1:16">
      <c r="A260" t="s">
        <v>285</v>
      </c>
      <c r="B260" t="s">
        <v>18</v>
      </c>
      <c r="C260" t="s">
        <v>19</v>
      </c>
      <c r="D260" s="1">
        <v>1</v>
      </c>
      <c r="E260" t="s">
        <v>20</v>
      </c>
      <c r="F260" t="s">
        <v>21</v>
      </c>
      <c r="G260">
        <v>3007</v>
      </c>
      <c r="H260">
        <v>3725</v>
      </c>
      <c r="I260">
        <v>100</v>
      </c>
      <c r="J260">
        <v>360</v>
      </c>
      <c r="K260">
        <v>0</v>
      </c>
      <c r="L260" t="s">
        <v>33</v>
      </c>
      <c r="M260">
        <f>Table2[[#This Row],[ApplicantIncome]]+Table2[[#This Row],[CoapplicantIncome]]</f>
        <v>6732</v>
      </c>
      <c r="N260">
        <f>Table2[[#This Row],[LoanAmount]]/Table2[[#This Row],[Total_Income ]]</f>
        <v>1.4854426619132501E-2</v>
      </c>
      <c r="O260">
        <f>Table2[[#This Row],[LoanAmount]]/Table2[[#This Row],[Loan_Amount_Term]]</f>
        <v>0.27777777777777779</v>
      </c>
      <c r="P260">
        <f>IF(Table2[[#This Row],[Total_Income ]]&gt;=AVERAGE(Table2[[#This Row],[Total_Income ]]),1,0)</f>
        <v>1</v>
      </c>
    </row>
    <row r="261" spans="1:16">
      <c r="A261" t="s">
        <v>286</v>
      </c>
      <c r="B261" t="s">
        <v>30</v>
      </c>
      <c r="C261" t="s">
        <v>21</v>
      </c>
      <c r="D261" s="1">
        <v>1</v>
      </c>
      <c r="E261" t="s">
        <v>20</v>
      </c>
      <c r="F261" t="s">
        <v>21</v>
      </c>
      <c r="G261">
        <v>1850</v>
      </c>
      <c r="H261">
        <v>4583</v>
      </c>
      <c r="I261">
        <v>234</v>
      </c>
      <c r="J261">
        <v>360</v>
      </c>
      <c r="K261">
        <v>1</v>
      </c>
      <c r="L261" t="s">
        <v>33</v>
      </c>
      <c r="M261">
        <f>Table2[[#This Row],[ApplicantIncome]]+Table2[[#This Row],[CoapplicantIncome]]</f>
        <v>6433</v>
      </c>
      <c r="N261">
        <f>Table2[[#This Row],[LoanAmount]]/Table2[[#This Row],[Total_Income ]]</f>
        <v>3.637494170682419E-2</v>
      </c>
      <c r="O261">
        <f>Table2[[#This Row],[LoanAmount]]/Table2[[#This Row],[Loan_Amount_Term]]</f>
        <v>0.65</v>
      </c>
      <c r="P261">
        <f>IF(Table2[[#This Row],[Total_Income ]]&gt;=AVERAGE(Table2[[#This Row],[Total_Income ]]),1,0)</f>
        <v>1</v>
      </c>
    </row>
    <row r="262" spans="1:16">
      <c r="A262" t="s">
        <v>287</v>
      </c>
      <c r="B262" t="s">
        <v>30</v>
      </c>
      <c r="C262" t="s">
        <v>19</v>
      </c>
      <c r="D262" s="1">
        <v>2</v>
      </c>
      <c r="E262" t="s">
        <v>27</v>
      </c>
      <c r="F262" t="s">
        <v>21</v>
      </c>
      <c r="G262">
        <v>2792</v>
      </c>
      <c r="H262">
        <v>2619</v>
      </c>
      <c r="I262">
        <v>184</v>
      </c>
      <c r="J262">
        <v>480</v>
      </c>
      <c r="K262">
        <v>1</v>
      </c>
      <c r="L262" t="s">
        <v>31</v>
      </c>
      <c r="M262">
        <f>Table2[[#This Row],[ApplicantIncome]]+Table2[[#This Row],[CoapplicantIncome]]</f>
        <v>5411</v>
      </c>
      <c r="N262">
        <f>Table2[[#This Row],[LoanAmount]]/Table2[[#This Row],[Total_Income ]]</f>
        <v>3.4004805026797265E-2</v>
      </c>
      <c r="O262">
        <f>Table2[[#This Row],[LoanAmount]]/Table2[[#This Row],[Loan_Amount_Term]]</f>
        <v>0.38333333333333336</v>
      </c>
      <c r="P262">
        <f>IF(Table2[[#This Row],[Total_Income ]]&gt;=AVERAGE(Table2[[#This Row],[Total_Income ]]),1,0)</f>
        <v>1</v>
      </c>
    </row>
    <row r="263" spans="1:16">
      <c r="A263" t="s">
        <v>288</v>
      </c>
      <c r="B263" t="s">
        <v>18</v>
      </c>
      <c r="C263" t="s">
        <v>19</v>
      </c>
      <c r="D263" s="1">
        <v>0</v>
      </c>
      <c r="E263" t="s">
        <v>20</v>
      </c>
      <c r="F263" t="s">
        <v>21</v>
      </c>
      <c r="G263">
        <v>2982</v>
      </c>
      <c r="H263">
        <v>1550</v>
      </c>
      <c r="I263">
        <v>138</v>
      </c>
      <c r="J263">
        <v>360</v>
      </c>
      <c r="K263">
        <v>1</v>
      </c>
      <c r="L263" t="s">
        <v>31</v>
      </c>
      <c r="M263">
        <f>Table2[[#This Row],[ApplicantIncome]]+Table2[[#This Row],[CoapplicantIncome]]</f>
        <v>4532</v>
      </c>
      <c r="N263">
        <f>Table2[[#This Row],[LoanAmount]]/Table2[[#This Row],[Total_Income ]]</f>
        <v>3.0450132391879964E-2</v>
      </c>
      <c r="O263">
        <f>Table2[[#This Row],[LoanAmount]]/Table2[[#This Row],[Loan_Amount_Term]]</f>
        <v>0.38333333333333336</v>
      </c>
      <c r="P263">
        <f>IF(Table2[[#This Row],[Total_Income ]]&gt;=AVERAGE(Table2[[#This Row],[Total_Income ]]),1,0)</f>
        <v>1</v>
      </c>
    </row>
    <row r="264" spans="1:16">
      <c r="A264" t="s">
        <v>289</v>
      </c>
      <c r="B264" t="s">
        <v>18</v>
      </c>
      <c r="C264" t="s">
        <v>21</v>
      </c>
      <c r="D264" s="1" t="s">
        <v>39</v>
      </c>
      <c r="E264" t="s">
        <v>20</v>
      </c>
      <c r="F264" t="s">
        <v>21</v>
      </c>
      <c r="G264">
        <v>3417</v>
      </c>
      <c r="H264">
        <v>738</v>
      </c>
      <c r="I264">
        <v>112</v>
      </c>
      <c r="J264">
        <v>360</v>
      </c>
      <c r="K264">
        <v>1</v>
      </c>
      <c r="L264" t="s">
        <v>33</v>
      </c>
      <c r="M264">
        <f>Table2[[#This Row],[ApplicantIncome]]+Table2[[#This Row],[CoapplicantIncome]]</f>
        <v>4155</v>
      </c>
      <c r="N264">
        <f>Table2[[#This Row],[LoanAmount]]/Table2[[#This Row],[Total_Income ]]</f>
        <v>2.6955475330926595E-2</v>
      </c>
      <c r="O264">
        <f>Table2[[#This Row],[LoanAmount]]/Table2[[#This Row],[Loan_Amount_Term]]</f>
        <v>0.31111111111111112</v>
      </c>
      <c r="P264">
        <f>IF(Table2[[#This Row],[Total_Income ]]&gt;=AVERAGE(Table2[[#This Row],[Total_Income ]]),1,0)</f>
        <v>1</v>
      </c>
    </row>
    <row r="265" spans="1:16">
      <c r="A265" t="s">
        <v>290</v>
      </c>
      <c r="B265" t="s">
        <v>30</v>
      </c>
      <c r="C265" t="s">
        <v>19</v>
      </c>
      <c r="D265" s="1">
        <v>0</v>
      </c>
      <c r="E265" t="s">
        <v>20</v>
      </c>
      <c r="F265" t="s">
        <v>21</v>
      </c>
      <c r="G265">
        <v>18840</v>
      </c>
      <c r="H265">
        <v>0</v>
      </c>
      <c r="I265">
        <v>117</v>
      </c>
      <c r="J265">
        <v>360</v>
      </c>
      <c r="K265">
        <v>1</v>
      </c>
      <c r="L265" t="s">
        <v>33</v>
      </c>
      <c r="M265">
        <f>Table2[[#This Row],[ApplicantIncome]]+Table2[[#This Row],[CoapplicantIncome]]</f>
        <v>18840</v>
      </c>
      <c r="N265">
        <f>Table2[[#This Row],[LoanAmount]]/Table2[[#This Row],[Total_Income ]]</f>
        <v>6.2101910828025481E-3</v>
      </c>
      <c r="O265">
        <f>Table2[[#This Row],[LoanAmount]]/Table2[[#This Row],[Loan_Amount_Term]]</f>
        <v>0.32500000000000001</v>
      </c>
      <c r="P265">
        <f>IF(Table2[[#This Row],[Total_Income ]]&gt;=AVERAGE(Table2[[#This Row],[Total_Income ]]),1,0)</f>
        <v>1</v>
      </c>
    </row>
    <row r="266" spans="1:16">
      <c r="A266" t="s">
        <v>291</v>
      </c>
      <c r="B266" t="s">
        <v>30</v>
      </c>
      <c r="C266" t="s">
        <v>19</v>
      </c>
      <c r="D266" s="1">
        <v>1</v>
      </c>
      <c r="E266" t="s">
        <v>20</v>
      </c>
      <c r="F266" t="s">
        <v>21</v>
      </c>
      <c r="G266">
        <v>2995</v>
      </c>
      <c r="H266">
        <v>1120</v>
      </c>
      <c r="I266">
        <v>49</v>
      </c>
      <c r="J266">
        <v>360</v>
      </c>
      <c r="K266">
        <v>1</v>
      </c>
      <c r="L266" t="s">
        <v>33</v>
      </c>
      <c r="M266">
        <f>Table2[[#This Row],[ApplicantIncome]]+Table2[[#This Row],[CoapplicantIncome]]</f>
        <v>4115</v>
      </c>
      <c r="N266">
        <f>Table2[[#This Row],[LoanAmount]]/Table2[[#This Row],[Total_Income ]]</f>
        <v>1.1907654921020656E-2</v>
      </c>
      <c r="O266">
        <f>Table2[[#This Row],[LoanAmount]]/Table2[[#This Row],[Loan_Amount_Term]]</f>
        <v>0.1361111111111111</v>
      </c>
      <c r="P266">
        <f>IF(Table2[[#This Row],[Total_Income ]]&gt;=AVERAGE(Table2[[#This Row],[Total_Income ]]),1,0)</f>
        <v>1</v>
      </c>
    </row>
    <row r="267" spans="1:16">
      <c r="A267" t="s">
        <v>292</v>
      </c>
      <c r="B267" t="s">
        <v>18</v>
      </c>
      <c r="C267" t="s">
        <v>21</v>
      </c>
      <c r="D267" s="1">
        <v>2</v>
      </c>
      <c r="E267" t="s">
        <v>20</v>
      </c>
      <c r="F267" t="s">
        <v>21</v>
      </c>
      <c r="G267">
        <v>3579</v>
      </c>
      <c r="H267">
        <v>3308</v>
      </c>
      <c r="I267">
        <v>99</v>
      </c>
      <c r="J267">
        <v>360</v>
      </c>
      <c r="K267">
        <v>1</v>
      </c>
      <c r="L267" t="s">
        <v>31</v>
      </c>
      <c r="M267">
        <f>Table2[[#This Row],[ApplicantIncome]]+Table2[[#This Row],[CoapplicantIncome]]</f>
        <v>6887</v>
      </c>
      <c r="N267">
        <f>Table2[[#This Row],[LoanAmount]]/Table2[[#This Row],[Total_Income ]]</f>
        <v>1.4374909249310295E-2</v>
      </c>
      <c r="O267">
        <f>Table2[[#This Row],[LoanAmount]]/Table2[[#This Row],[Loan_Amount_Term]]</f>
        <v>0.27500000000000002</v>
      </c>
      <c r="P267">
        <f>IF(Table2[[#This Row],[Total_Income ]]&gt;=AVERAGE(Table2[[#This Row],[Total_Income ]]),1,0)</f>
        <v>1</v>
      </c>
    </row>
    <row r="268" spans="1:16">
      <c r="A268" t="s">
        <v>293</v>
      </c>
      <c r="B268" t="s">
        <v>18</v>
      </c>
      <c r="C268" t="s">
        <v>19</v>
      </c>
      <c r="D268" s="1">
        <v>0</v>
      </c>
      <c r="E268" t="s">
        <v>27</v>
      </c>
      <c r="F268" t="s">
        <v>21</v>
      </c>
      <c r="G268">
        <v>3835</v>
      </c>
      <c r="H268">
        <v>1400</v>
      </c>
      <c r="I268">
        <v>99</v>
      </c>
      <c r="J268">
        <v>360</v>
      </c>
      <c r="K268">
        <v>1</v>
      </c>
      <c r="L268" t="s">
        <v>22</v>
      </c>
      <c r="M268">
        <f>Table2[[#This Row],[ApplicantIncome]]+Table2[[#This Row],[CoapplicantIncome]]</f>
        <v>5235</v>
      </c>
      <c r="N268">
        <f>Table2[[#This Row],[LoanAmount]]/Table2[[#This Row],[Total_Income ]]</f>
        <v>1.8911174785100286E-2</v>
      </c>
      <c r="O268">
        <f>Table2[[#This Row],[LoanAmount]]/Table2[[#This Row],[Loan_Amount_Term]]</f>
        <v>0.27500000000000002</v>
      </c>
      <c r="P268">
        <f>IF(Table2[[#This Row],[Total_Income ]]&gt;=AVERAGE(Table2[[#This Row],[Total_Income ]]),1,0)</f>
        <v>1</v>
      </c>
    </row>
    <row r="269" spans="1:16">
      <c r="A269" t="s">
        <v>294</v>
      </c>
      <c r="B269" t="s">
        <v>30</v>
      </c>
      <c r="C269" t="s">
        <v>21</v>
      </c>
      <c r="D269" s="1" t="s">
        <v>39</v>
      </c>
      <c r="E269" t="s">
        <v>27</v>
      </c>
      <c r="F269" t="s">
        <v>21</v>
      </c>
      <c r="G269">
        <v>3854</v>
      </c>
      <c r="H269">
        <v>3575</v>
      </c>
      <c r="I269">
        <v>212</v>
      </c>
      <c r="J269">
        <v>360</v>
      </c>
      <c r="K269">
        <v>1</v>
      </c>
      <c r="L269" t="s">
        <v>33</v>
      </c>
      <c r="M269">
        <f>Table2[[#This Row],[ApplicantIncome]]+Table2[[#This Row],[CoapplicantIncome]]</f>
        <v>7429</v>
      </c>
      <c r="N269">
        <f>Table2[[#This Row],[LoanAmount]]/Table2[[#This Row],[Total_Income ]]</f>
        <v>2.8536815183739399E-2</v>
      </c>
      <c r="O269">
        <f>Table2[[#This Row],[LoanAmount]]/Table2[[#This Row],[Loan_Amount_Term]]</f>
        <v>0.58888888888888891</v>
      </c>
      <c r="P269">
        <f>IF(Table2[[#This Row],[Total_Income ]]&gt;=AVERAGE(Table2[[#This Row],[Total_Income ]]),1,0)</f>
        <v>1</v>
      </c>
    </row>
    <row r="270" spans="1:16">
      <c r="A270" t="s">
        <v>295</v>
      </c>
      <c r="B270" t="s">
        <v>18</v>
      </c>
      <c r="C270" t="s">
        <v>19</v>
      </c>
      <c r="D270" s="1">
        <v>0</v>
      </c>
      <c r="E270" t="s">
        <v>20</v>
      </c>
      <c r="F270" t="s">
        <v>21</v>
      </c>
      <c r="G270">
        <v>5833</v>
      </c>
      <c r="H270">
        <v>750</v>
      </c>
      <c r="I270">
        <v>240</v>
      </c>
      <c r="J270">
        <v>360</v>
      </c>
      <c r="K270">
        <v>1</v>
      </c>
      <c r="L270" t="s">
        <v>33</v>
      </c>
      <c r="M270">
        <f>Table2[[#This Row],[ApplicantIncome]]+Table2[[#This Row],[CoapplicantIncome]]</f>
        <v>6583</v>
      </c>
      <c r="N270">
        <f>Table2[[#This Row],[LoanAmount]]/Table2[[#This Row],[Total_Income ]]</f>
        <v>3.6457542154033115E-2</v>
      </c>
      <c r="O270">
        <f>Table2[[#This Row],[LoanAmount]]/Table2[[#This Row],[Loan_Amount_Term]]</f>
        <v>0.66666666666666663</v>
      </c>
      <c r="P270">
        <f>IF(Table2[[#This Row],[Total_Income ]]&gt;=AVERAGE(Table2[[#This Row],[Total_Income ]]),1,0)</f>
        <v>1</v>
      </c>
    </row>
    <row r="271" spans="1:16">
      <c r="A271" t="s">
        <v>296</v>
      </c>
      <c r="B271" t="s">
        <v>18</v>
      </c>
      <c r="C271" t="s">
        <v>21</v>
      </c>
      <c r="D271" s="1">
        <v>0</v>
      </c>
      <c r="E271" t="s">
        <v>20</v>
      </c>
      <c r="F271" t="s">
        <v>21</v>
      </c>
      <c r="G271">
        <v>3508</v>
      </c>
      <c r="H271">
        <v>0</v>
      </c>
      <c r="I271">
        <v>130</v>
      </c>
      <c r="J271">
        <v>360</v>
      </c>
      <c r="K271">
        <v>1</v>
      </c>
      <c r="L271" t="s">
        <v>33</v>
      </c>
      <c r="M271">
        <f>Table2[[#This Row],[ApplicantIncome]]+Table2[[#This Row],[CoapplicantIncome]]</f>
        <v>3508</v>
      </c>
      <c r="N271">
        <f>Table2[[#This Row],[LoanAmount]]/Table2[[#This Row],[Total_Income ]]</f>
        <v>3.7058152793614595E-2</v>
      </c>
      <c r="O271">
        <f>Table2[[#This Row],[LoanAmount]]/Table2[[#This Row],[Loan_Amount_Term]]</f>
        <v>0.3611111111111111</v>
      </c>
      <c r="P271">
        <f>IF(Table2[[#This Row],[Total_Income ]]&gt;=AVERAGE(Table2[[#This Row],[Total_Income ]]),1,0)</f>
        <v>1</v>
      </c>
    </row>
    <row r="272" spans="1:16">
      <c r="A272" t="s">
        <v>297</v>
      </c>
      <c r="B272" t="s">
        <v>30</v>
      </c>
      <c r="C272" t="s">
        <v>19</v>
      </c>
      <c r="D272" s="1" t="s">
        <v>39</v>
      </c>
      <c r="E272" t="s">
        <v>27</v>
      </c>
      <c r="F272" t="s">
        <v>21</v>
      </c>
      <c r="G272">
        <v>1635</v>
      </c>
      <c r="H272">
        <v>2444</v>
      </c>
      <c r="I272">
        <v>94</v>
      </c>
      <c r="J272">
        <v>360</v>
      </c>
      <c r="K272">
        <v>1</v>
      </c>
      <c r="L272" t="s">
        <v>22</v>
      </c>
      <c r="M272">
        <f>Table2[[#This Row],[ApplicantIncome]]+Table2[[#This Row],[CoapplicantIncome]]</f>
        <v>4079</v>
      </c>
      <c r="N272">
        <f>Table2[[#This Row],[LoanAmount]]/Table2[[#This Row],[Total_Income ]]</f>
        <v>2.3044863937239521E-2</v>
      </c>
      <c r="O272">
        <f>Table2[[#This Row],[LoanAmount]]/Table2[[#This Row],[Loan_Amount_Term]]</f>
        <v>0.26111111111111113</v>
      </c>
      <c r="P272">
        <f>IF(Table2[[#This Row],[Total_Income ]]&gt;=AVERAGE(Table2[[#This Row],[Total_Income ]]),1,0)</f>
        <v>1</v>
      </c>
    </row>
    <row r="273" spans="1:16">
      <c r="A273" t="s">
        <v>298</v>
      </c>
      <c r="B273" t="s">
        <v>18</v>
      </c>
      <c r="C273" t="s">
        <v>21</v>
      </c>
      <c r="D273" s="1">
        <v>0</v>
      </c>
      <c r="E273" t="s">
        <v>20</v>
      </c>
      <c r="F273" t="s">
        <v>21</v>
      </c>
      <c r="G273">
        <v>3333</v>
      </c>
      <c r="H273">
        <v>3916</v>
      </c>
      <c r="I273">
        <v>108</v>
      </c>
      <c r="J273">
        <v>180</v>
      </c>
      <c r="K273">
        <v>0</v>
      </c>
      <c r="L273" t="s">
        <v>33</v>
      </c>
      <c r="M273">
        <f>Table2[[#This Row],[ApplicantIncome]]+Table2[[#This Row],[CoapplicantIncome]]</f>
        <v>7249</v>
      </c>
      <c r="N273">
        <f>Table2[[#This Row],[LoanAmount]]/Table2[[#This Row],[Total_Income ]]</f>
        <v>1.4898606704373017E-2</v>
      </c>
      <c r="O273">
        <f>Table2[[#This Row],[LoanAmount]]/Table2[[#This Row],[Loan_Amount_Term]]</f>
        <v>0.6</v>
      </c>
      <c r="P273">
        <f>IF(Table2[[#This Row],[Total_Income ]]&gt;=AVERAGE(Table2[[#This Row],[Total_Income ]]),1,0)</f>
        <v>1</v>
      </c>
    </row>
    <row r="274" spans="1:16">
      <c r="A274" t="s">
        <v>299</v>
      </c>
      <c r="B274" t="s">
        <v>18</v>
      </c>
      <c r="C274" t="s">
        <v>21</v>
      </c>
      <c r="D274" s="1">
        <v>0</v>
      </c>
      <c r="E274" t="s">
        <v>20</v>
      </c>
      <c r="F274" t="s">
        <v>21</v>
      </c>
      <c r="G274">
        <v>24797</v>
      </c>
      <c r="H274">
        <v>0</v>
      </c>
      <c r="I274">
        <v>144</v>
      </c>
      <c r="J274">
        <v>360</v>
      </c>
      <c r="K274">
        <v>1</v>
      </c>
      <c r="L274" t="s">
        <v>31</v>
      </c>
      <c r="M274">
        <f>Table2[[#This Row],[ApplicantIncome]]+Table2[[#This Row],[CoapplicantIncome]]</f>
        <v>24797</v>
      </c>
      <c r="N274">
        <f>Table2[[#This Row],[LoanAmount]]/Table2[[#This Row],[Total_Income ]]</f>
        <v>5.8071540912207125E-3</v>
      </c>
      <c r="O274">
        <f>Table2[[#This Row],[LoanAmount]]/Table2[[#This Row],[Loan_Amount_Term]]</f>
        <v>0.4</v>
      </c>
      <c r="P274">
        <f>IF(Table2[[#This Row],[Total_Income ]]&gt;=AVERAGE(Table2[[#This Row],[Total_Income ]]),1,0)</f>
        <v>1</v>
      </c>
    </row>
    <row r="275" spans="1:16">
      <c r="A275" t="s">
        <v>300</v>
      </c>
      <c r="B275" t="s">
        <v>18</v>
      </c>
      <c r="C275" t="s">
        <v>19</v>
      </c>
      <c r="D275" s="1">
        <v>0</v>
      </c>
      <c r="E275" t="s">
        <v>20</v>
      </c>
      <c r="F275" t="s">
        <v>21</v>
      </c>
      <c r="G275">
        <v>5667</v>
      </c>
      <c r="H275">
        <v>440</v>
      </c>
      <c r="I275">
        <v>110</v>
      </c>
      <c r="J275">
        <v>360</v>
      </c>
      <c r="K275">
        <v>1</v>
      </c>
      <c r="L275" t="s">
        <v>31</v>
      </c>
      <c r="M275">
        <f>Table2[[#This Row],[ApplicantIncome]]+Table2[[#This Row],[CoapplicantIncome]]</f>
        <v>6107</v>
      </c>
      <c r="N275">
        <f>Table2[[#This Row],[LoanAmount]]/Table2[[#This Row],[Total_Income ]]</f>
        <v>1.8012117242508598E-2</v>
      </c>
      <c r="O275">
        <f>Table2[[#This Row],[LoanAmount]]/Table2[[#This Row],[Loan_Amount_Term]]</f>
        <v>0.30555555555555558</v>
      </c>
      <c r="P275">
        <f>IF(Table2[[#This Row],[Total_Income ]]&gt;=AVERAGE(Table2[[#This Row],[Total_Income ]]),1,0)</f>
        <v>1</v>
      </c>
    </row>
    <row r="276" spans="1:16">
      <c r="A276" t="s">
        <v>301</v>
      </c>
      <c r="B276" t="s">
        <v>30</v>
      </c>
      <c r="C276" t="s">
        <v>21</v>
      </c>
      <c r="D276" s="1">
        <v>0</v>
      </c>
      <c r="E276" t="s">
        <v>20</v>
      </c>
      <c r="F276" t="s">
        <v>21</v>
      </c>
      <c r="G276">
        <v>3500</v>
      </c>
      <c r="H276">
        <v>0</v>
      </c>
      <c r="I276">
        <v>176</v>
      </c>
      <c r="J276">
        <v>360</v>
      </c>
      <c r="K276">
        <v>1</v>
      </c>
      <c r="L276" t="s">
        <v>31</v>
      </c>
      <c r="M276">
        <f>Table2[[#This Row],[ApplicantIncome]]+Table2[[#This Row],[CoapplicantIncome]]</f>
        <v>3500</v>
      </c>
      <c r="N276">
        <f>Table2[[#This Row],[LoanAmount]]/Table2[[#This Row],[Total_Income ]]</f>
        <v>5.0285714285714288E-2</v>
      </c>
      <c r="O276">
        <f>Table2[[#This Row],[LoanAmount]]/Table2[[#This Row],[Loan_Amount_Term]]</f>
        <v>0.48888888888888887</v>
      </c>
      <c r="P276">
        <f>IF(Table2[[#This Row],[Total_Income ]]&gt;=AVERAGE(Table2[[#This Row],[Total_Income ]]),1,0)</f>
        <v>1</v>
      </c>
    </row>
    <row r="277" spans="1:16">
      <c r="A277" t="s">
        <v>302</v>
      </c>
      <c r="B277" t="s">
        <v>18</v>
      </c>
      <c r="C277" t="s">
        <v>19</v>
      </c>
      <c r="D277" s="1">
        <v>0</v>
      </c>
      <c r="E277" t="s">
        <v>20</v>
      </c>
      <c r="F277" t="s">
        <v>21</v>
      </c>
      <c r="G277">
        <v>2773</v>
      </c>
      <c r="H277">
        <v>1497</v>
      </c>
      <c r="I277">
        <v>185</v>
      </c>
      <c r="J277">
        <v>360</v>
      </c>
      <c r="K277">
        <v>1</v>
      </c>
      <c r="L277" t="s">
        <v>31</v>
      </c>
      <c r="M277">
        <f>Table2[[#This Row],[ApplicantIncome]]+Table2[[#This Row],[CoapplicantIncome]]</f>
        <v>4270</v>
      </c>
      <c r="N277">
        <f>Table2[[#This Row],[LoanAmount]]/Table2[[#This Row],[Total_Income ]]</f>
        <v>4.3325526932084309E-2</v>
      </c>
      <c r="O277">
        <f>Table2[[#This Row],[LoanAmount]]/Table2[[#This Row],[Loan_Amount_Term]]</f>
        <v>0.51388888888888884</v>
      </c>
      <c r="P277">
        <f>IF(Table2[[#This Row],[Total_Income ]]&gt;=AVERAGE(Table2[[#This Row],[Total_Income ]]),1,0)</f>
        <v>1</v>
      </c>
    </row>
    <row r="278" spans="1:16">
      <c r="A278" t="s">
        <v>303</v>
      </c>
      <c r="B278" t="s">
        <v>30</v>
      </c>
      <c r="C278" t="s">
        <v>19</v>
      </c>
      <c r="D278" s="1">
        <v>2</v>
      </c>
      <c r="E278" t="s">
        <v>20</v>
      </c>
      <c r="F278" t="s">
        <v>21</v>
      </c>
      <c r="G278">
        <v>6500</v>
      </c>
      <c r="H278">
        <v>0</v>
      </c>
      <c r="I278">
        <v>122</v>
      </c>
      <c r="J278">
        <v>360</v>
      </c>
      <c r="K278">
        <v>1</v>
      </c>
      <c r="L278" t="s">
        <v>22</v>
      </c>
      <c r="M278">
        <f>Table2[[#This Row],[ApplicantIncome]]+Table2[[#This Row],[CoapplicantIncome]]</f>
        <v>6500</v>
      </c>
      <c r="N278">
        <f>Table2[[#This Row],[LoanAmount]]/Table2[[#This Row],[Total_Income ]]</f>
        <v>1.8769230769230771E-2</v>
      </c>
      <c r="O278">
        <f>Table2[[#This Row],[LoanAmount]]/Table2[[#This Row],[Loan_Amount_Term]]</f>
        <v>0.33888888888888891</v>
      </c>
      <c r="P278">
        <f>IF(Table2[[#This Row],[Total_Income ]]&gt;=AVERAGE(Table2[[#This Row],[Total_Income ]]),1,0)</f>
        <v>1</v>
      </c>
    </row>
    <row r="279" spans="1:16">
      <c r="A279" t="s">
        <v>304</v>
      </c>
      <c r="B279" t="s">
        <v>18</v>
      </c>
      <c r="C279" t="s">
        <v>21</v>
      </c>
      <c r="D279" s="1">
        <v>1</v>
      </c>
      <c r="E279" t="s">
        <v>20</v>
      </c>
      <c r="F279" t="s">
        <v>21</v>
      </c>
      <c r="G279">
        <v>5769</v>
      </c>
      <c r="H279">
        <v>0</v>
      </c>
      <c r="I279">
        <v>126</v>
      </c>
      <c r="J279">
        <v>360</v>
      </c>
      <c r="K279">
        <v>1</v>
      </c>
      <c r="L279" t="s">
        <v>31</v>
      </c>
      <c r="M279">
        <f>Table2[[#This Row],[ApplicantIncome]]+Table2[[#This Row],[CoapplicantIncome]]</f>
        <v>5769</v>
      </c>
      <c r="N279">
        <f>Table2[[#This Row],[LoanAmount]]/Table2[[#This Row],[Total_Income ]]</f>
        <v>2.1840873634945399E-2</v>
      </c>
      <c r="O279">
        <f>Table2[[#This Row],[LoanAmount]]/Table2[[#This Row],[Loan_Amount_Term]]</f>
        <v>0.35</v>
      </c>
      <c r="P279">
        <f>IF(Table2[[#This Row],[Total_Income ]]&gt;=AVERAGE(Table2[[#This Row],[Total_Income ]]),1,0)</f>
        <v>1</v>
      </c>
    </row>
    <row r="280" spans="1:16">
      <c r="A280" t="s">
        <v>305</v>
      </c>
      <c r="B280" t="s">
        <v>18</v>
      </c>
      <c r="C280" t="s">
        <v>19</v>
      </c>
      <c r="D280" s="1">
        <v>0</v>
      </c>
      <c r="E280" t="s">
        <v>27</v>
      </c>
      <c r="F280" t="s">
        <v>21</v>
      </c>
      <c r="G280">
        <v>3634</v>
      </c>
      <c r="H280">
        <v>910</v>
      </c>
      <c r="I280">
        <v>135</v>
      </c>
      <c r="J280">
        <v>360</v>
      </c>
      <c r="K280">
        <v>1</v>
      </c>
      <c r="L280" t="s">
        <v>31</v>
      </c>
      <c r="M280">
        <f>Table2[[#This Row],[ApplicantIncome]]+Table2[[#This Row],[CoapplicantIncome]]</f>
        <v>4544</v>
      </c>
      <c r="N280">
        <f>Table2[[#This Row],[LoanAmount]]/Table2[[#This Row],[Total_Income ]]</f>
        <v>2.970950704225352E-2</v>
      </c>
      <c r="O280">
        <f>Table2[[#This Row],[LoanAmount]]/Table2[[#This Row],[Loan_Amount_Term]]</f>
        <v>0.375</v>
      </c>
      <c r="P280">
        <f>IF(Table2[[#This Row],[Total_Income ]]&gt;=AVERAGE(Table2[[#This Row],[Total_Income ]]),1,0)</f>
        <v>1</v>
      </c>
    </row>
    <row r="281" spans="1:16">
      <c r="A281" t="s">
        <v>306</v>
      </c>
      <c r="B281" t="s">
        <v>18</v>
      </c>
      <c r="C281" t="s">
        <v>21</v>
      </c>
      <c r="D281" s="1">
        <v>0</v>
      </c>
      <c r="E281" t="s">
        <v>20</v>
      </c>
      <c r="F281" t="s">
        <v>21</v>
      </c>
      <c r="G281">
        <v>29167</v>
      </c>
      <c r="H281">
        <v>0</v>
      </c>
      <c r="I281">
        <v>122</v>
      </c>
      <c r="J281">
        <v>360</v>
      </c>
      <c r="K281">
        <v>0</v>
      </c>
      <c r="L281" t="s">
        <v>31</v>
      </c>
      <c r="M281">
        <f>Table2[[#This Row],[ApplicantIncome]]+Table2[[#This Row],[CoapplicantIncome]]</f>
        <v>29167</v>
      </c>
      <c r="N281">
        <f>Table2[[#This Row],[LoanAmount]]/Table2[[#This Row],[Total_Income ]]</f>
        <v>4.1828093393218363E-3</v>
      </c>
      <c r="O281">
        <f>Table2[[#This Row],[LoanAmount]]/Table2[[#This Row],[Loan_Amount_Term]]</f>
        <v>0.33888888888888891</v>
      </c>
      <c r="P281">
        <f>IF(Table2[[#This Row],[Total_Income ]]&gt;=AVERAGE(Table2[[#This Row],[Total_Income ]]),1,0)</f>
        <v>1</v>
      </c>
    </row>
    <row r="282" spans="1:16">
      <c r="A282" t="s">
        <v>307</v>
      </c>
      <c r="B282" t="s">
        <v>18</v>
      </c>
      <c r="C282" t="s">
        <v>21</v>
      </c>
      <c r="D282" s="1">
        <v>0</v>
      </c>
      <c r="E282" t="s">
        <v>20</v>
      </c>
      <c r="F282" t="s">
        <v>19</v>
      </c>
      <c r="G282">
        <v>2166</v>
      </c>
      <c r="H282">
        <v>2057</v>
      </c>
      <c r="I282">
        <v>460</v>
      </c>
      <c r="J282">
        <v>360</v>
      </c>
      <c r="K282">
        <v>1</v>
      </c>
      <c r="L282" t="s">
        <v>31</v>
      </c>
      <c r="M282">
        <f>Table2[[#This Row],[ApplicantIncome]]+Table2[[#This Row],[CoapplicantIncome]]</f>
        <v>4223</v>
      </c>
      <c r="N282">
        <f>Table2[[#This Row],[LoanAmount]]/Table2[[#This Row],[Total_Income ]]</f>
        <v>0.10892730286526166</v>
      </c>
      <c r="O282">
        <f>Table2[[#This Row],[LoanAmount]]/Table2[[#This Row],[Loan_Amount_Term]]</f>
        <v>1.2777777777777777</v>
      </c>
      <c r="P282">
        <f>IF(Table2[[#This Row],[Total_Income ]]&gt;=AVERAGE(Table2[[#This Row],[Total_Income ]]),1,0)</f>
        <v>1</v>
      </c>
    </row>
    <row r="283" spans="1:16">
      <c r="A283" t="s">
        <v>308</v>
      </c>
      <c r="B283" t="s">
        <v>18</v>
      </c>
      <c r="C283" t="s">
        <v>19</v>
      </c>
      <c r="D283" s="1">
        <v>1</v>
      </c>
      <c r="E283" t="s">
        <v>20</v>
      </c>
      <c r="F283" t="s">
        <v>19</v>
      </c>
      <c r="G283">
        <v>5000</v>
      </c>
      <c r="H283">
        <v>0</v>
      </c>
      <c r="I283">
        <v>297</v>
      </c>
      <c r="J283">
        <v>360</v>
      </c>
      <c r="K283">
        <v>1</v>
      </c>
      <c r="L283" t="s">
        <v>33</v>
      </c>
      <c r="M283">
        <f>Table2[[#This Row],[ApplicantIncome]]+Table2[[#This Row],[CoapplicantIncome]]</f>
        <v>5000</v>
      </c>
      <c r="N283">
        <f>Table2[[#This Row],[LoanAmount]]/Table2[[#This Row],[Total_Income ]]</f>
        <v>5.9400000000000001E-2</v>
      </c>
      <c r="O283">
        <f>Table2[[#This Row],[LoanAmount]]/Table2[[#This Row],[Loan_Amount_Term]]</f>
        <v>0.82499999999999996</v>
      </c>
      <c r="P283">
        <f>IF(Table2[[#This Row],[Total_Income ]]&gt;=AVERAGE(Table2[[#This Row],[Total_Income ]]),1,0)</f>
        <v>1</v>
      </c>
    </row>
    <row r="284" spans="1:16">
      <c r="A284" t="s">
        <v>309</v>
      </c>
      <c r="B284" t="s">
        <v>18</v>
      </c>
      <c r="C284" t="s">
        <v>21</v>
      </c>
      <c r="D284" s="1">
        <v>0</v>
      </c>
      <c r="E284" t="s">
        <v>20</v>
      </c>
      <c r="F284" t="s">
        <v>19</v>
      </c>
      <c r="G284">
        <v>5530</v>
      </c>
      <c r="H284">
        <v>0</v>
      </c>
      <c r="I284">
        <v>140</v>
      </c>
      <c r="J284">
        <v>360</v>
      </c>
      <c r="K284">
        <v>1</v>
      </c>
      <c r="L284" t="s">
        <v>22</v>
      </c>
      <c r="M284">
        <f>Table2[[#This Row],[ApplicantIncome]]+Table2[[#This Row],[CoapplicantIncome]]</f>
        <v>5530</v>
      </c>
      <c r="N284">
        <f>Table2[[#This Row],[LoanAmount]]/Table2[[#This Row],[Total_Income ]]</f>
        <v>2.5316455696202531E-2</v>
      </c>
      <c r="O284">
        <f>Table2[[#This Row],[LoanAmount]]/Table2[[#This Row],[Loan_Amount_Term]]</f>
        <v>0.3888888888888889</v>
      </c>
      <c r="P284">
        <f>IF(Table2[[#This Row],[Total_Income ]]&gt;=AVERAGE(Table2[[#This Row],[Total_Income ]]),1,0)</f>
        <v>1</v>
      </c>
    </row>
    <row r="285" spans="1:16">
      <c r="A285" t="s">
        <v>310</v>
      </c>
      <c r="B285" t="s">
        <v>18</v>
      </c>
      <c r="C285" t="s">
        <v>21</v>
      </c>
      <c r="D285" s="1">
        <v>2</v>
      </c>
      <c r="E285" t="s">
        <v>27</v>
      </c>
      <c r="F285" t="s">
        <v>21</v>
      </c>
      <c r="G285">
        <v>9000</v>
      </c>
      <c r="H285">
        <v>0</v>
      </c>
      <c r="I285">
        <v>106</v>
      </c>
      <c r="J285">
        <v>360</v>
      </c>
      <c r="K285">
        <v>1</v>
      </c>
      <c r="L285" t="s">
        <v>33</v>
      </c>
      <c r="M285">
        <f>Table2[[#This Row],[ApplicantIncome]]+Table2[[#This Row],[CoapplicantIncome]]</f>
        <v>9000</v>
      </c>
      <c r="N285">
        <f>Table2[[#This Row],[LoanAmount]]/Table2[[#This Row],[Total_Income ]]</f>
        <v>1.1777777777777778E-2</v>
      </c>
      <c r="O285">
        <f>Table2[[#This Row],[LoanAmount]]/Table2[[#This Row],[Loan_Amount_Term]]</f>
        <v>0.29444444444444445</v>
      </c>
      <c r="P285">
        <f>IF(Table2[[#This Row],[Total_Income ]]&gt;=AVERAGE(Table2[[#This Row],[Total_Income ]]),1,0)</f>
        <v>1</v>
      </c>
    </row>
    <row r="286" spans="1:16">
      <c r="A286" t="s">
        <v>311</v>
      </c>
      <c r="B286" t="s">
        <v>18</v>
      </c>
      <c r="C286" t="s">
        <v>19</v>
      </c>
      <c r="D286" s="1">
        <v>0</v>
      </c>
      <c r="E286" t="s">
        <v>20</v>
      </c>
      <c r="F286" t="s">
        <v>21</v>
      </c>
      <c r="G286">
        <v>10000</v>
      </c>
      <c r="H286">
        <v>11666</v>
      </c>
      <c r="I286">
        <v>141</v>
      </c>
      <c r="J286">
        <v>360</v>
      </c>
      <c r="K286">
        <v>1</v>
      </c>
      <c r="L286" t="s">
        <v>22</v>
      </c>
      <c r="M286">
        <f>Table2[[#This Row],[ApplicantIncome]]+Table2[[#This Row],[CoapplicantIncome]]</f>
        <v>21666</v>
      </c>
      <c r="N286">
        <f>Table2[[#This Row],[LoanAmount]]/Table2[[#This Row],[Total_Income ]]</f>
        <v>6.5078925505400167E-3</v>
      </c>
      <c r="O286">
        <f>Table2[[#This Row],[LoanAmount]]/Table2[[#This Row],[Loan_Amount_Term]]</f>
        <v>0.39166666666666666</v>
      </c>
      <c r="P286">
        <f>IF(Table2[[#This Row],[Total_Income ]]&gt;=AVERAGE(Table2[[#This Row],[Total_Income ]]),1,0)</f>
        <v>1</v>
      </c>
    </row>
    <row r="287" spans="1:16">
      <c r="A287" t="s">
        <v>312</v>
      </c>
      <c r="B287" t="s">
        <v>30</v>
      </c>
      <c r="C287" t="s">
        <v>19</v>
      </c>
      <c r="D287" s="1">
        <v>0</v>
      </c>
      <c r="E287" t="s">
        <v>20</v>
      </c>
      <c r="F287" t="s">
        <v>19</v>
      </c>
      <c r="G287">
        <v>8750</v>
      </c>
      <c r="H287">
        <v>0</v>
      </c>
      <c r="I287">
        <v>170</v>
      </c>
      <c r="J287">
        <v>360</v>
      </c>
      <c r="K287">
        <v>1</v>
      </c>
      <c r="L287" t="s">
        <v>22</v>
      </c>
      <c r="M287">
        <f>Table2[[#This Row],[ApplicantIncome]]+Table2[[#This Row],[CoapplicantIncome]]</f>
        <v>8750</v>
      </c>
      <c r="N287">
        <f>Table2[[#This Row],[LoanAmount]]/Table2[[#This Row],[Total_Income ]]</f>
        <v>1.9428571428571427E-2</v>
      </c>
      <c r="O287">
        <f>Table2[[#This Row],[LoanAmount]]/Table2[[#This Row],[Loan_Amount_Term]]</f>
        <v>0.47222222222222221</v>
      </c>
      <c r="P287">
        <f>IF(Table2[[#This Row],[Total_Income ]]&gt;=AVERAGE(Table2[[#This Row],[Total_Income ]]),1,0)</f>
        <v>1</v>
      </c>
    </row>
    <row r="288" spans="1:16">
      <c r="A288" t="s">
        <v>313</v>
      </c>
      <c r="B288" t="s">
        <v>18</v>
      </c>
      <c r="C288" t="s">
        <v>19</v>
      </c>
      <c r="D288" s="1">
        <v>1</v>
      </c>
      <c r="E288" t="s">
        <v>27</v>
      </c>
      <c r="F288" t="s">
        <v>21</v>
      </c>
      <c r="G288">
        <v>2157</v>
      </c>
      <c r="H288">
        <v>2730</v>
      </c>
      <c r="I288">
        <v>145</v>
      </c>
      <c r="J288">
        <v>360</v>
      </c>
      <c r="K288">
        <v>1</v>
      </c>
      <c r="L288" t="s">
        <v>33</v>
      </c>
      <c r="M288">
        <f>Table2[[#This Row],[ApplicantIncome]]+Table2[[#This Row],[CoapplicantIncome]]</f>
        <v>4887</v>
      </c>
      <c r="N288">
        <f>Table2[[#This Row],[LoanAmount]]/Table2[[#This Row],[Total_Income ]]</f>
        <v>2.9670554532432985E-2</v>
      </c>
      <c r="O288">
        <f>Table2[[#This Row],[LoanAmount]]/Table2[[#This Row],[Loan_Amount_Term]]</f>
        <v>0.40277777777777779</v>
      </c>
      <c r="P288">
        <f>IF(Table2[[#This Row],[Total_Income ]]&gt;=AVERAGE(Table2[[#This Row],[Total_Income ]]),1,0)</f>
        <v>1</v>
      </c>
    </row>
    <row r="289" spans="1:16">
      <c r="A289" t="s">
        <v>314</v>
      </c>
      <c r="B289" t="s">
        <v>30</v>
      </c>
      <c r="C289" t="s">
        <v>21</v>
      </c>
      <c r="D289" s="1">
        <v>0</v>
      </c>
      <c r="E289" t="s">
        <v>20</v>
      </c>
      <c r="F289" t="s">
        <v>21</v>
      </c>
      <c r="G289">
        <v>1972</v>
      </c>
      <c r="H289">
        <v>4347</v>
      </c>
      <c r="I289">
        <v>90</v>
      </c>
      <c r="J289">
        <v>360</v>
      </c>
      <c r="K289">
        <v>1</v>
      </c>
      <c r="L289" t="s">
        <v>33</v>
      </c>
      <c r="M289">
        <f>Table2[[#This Row],[ApplicantIncome]]+Table2[[#This Row],[CoapplicantIncome]]</f>
        <v>6319</v>
      </c>
      <c r="N289">
        <f>Table2[[#This Row],[LoanAmount]]/Table2[[#This Row],[Total_Income ]]</f>
        <v>1.4242759930368729E-2</v>
      </c>
      <c r="O289">
        <f>Table2[[#This Row],[LoanAmount]]/Table2[[#This Row],[Loan_Amount_Term]]</f>
        <v>0.25</v>
      </c>
      <c r="P289">
        <f>IF(Table2[[#This Row],[Total_Income ]]&gt;=AVERAGE(Table2[[#This Row],[Total_Income ]]),1,0)</f>
        <v>1</v>
      </c>
    </row>
    <row r="290" spans="1:16">
      <c r="A290" t="s">
        <v>315</v>
      </c>
      <c r="B290" t="s">
        <v>18</v>
      </c>
      <c r="C290" t="s">
        <v>21</v>
      </c>
      <c r="D290" s="1">
        <v>0</v>
      </c>
      <c r="E290" t="s">
        <v>20</v>
      </c>
      <c r="F290" t="s">
        <v>21</v>
      </c>
      <c r="G290">
        <v>4983</v>
      </c>
      <c r="H290">
        <v>0</v>
      </c>
      <c r="I290">
        <v>88</v>
      </c>
      <c r="J290">
        <v>360</v>
      </c>
      <c r="K290">
        <v>0</v>
      </c>
      <c r="L290" t="s">
        <v>22</v>
      </c>
      <c r="M290">
        <f>Table2[[#This Row],[ApplicantIncome]]+Table2[[#This Row],[CoapplicantIncome]]</f>
        <v>4983</v>
      </c>
      <c r="N290">
        <f>Table2[[#This Row],[LoanAmount]]/Table2[[#This Row],[Total_Income ]]</f>
        <v>1.7660044150110375E-2</v>
      </c>
      <c r="O290">
        <f>Table2[[#This Row],[LoanAmount]]/Table2[[#This Row],[Loan_Amount_Term]]</f>
        <v>0.24444444444444444</v>
      </c>
      <c r="P290">
        <f>IF(Table2[[#This Row],[Total_Income ]]&gt;=AVERAGE(Table2[[#This Row],[Total_Income ]]),1,0)</f>
        <v>1</v>
      </c>
    </row>
    <row r="291" spans="1:16">
      <c r="A291" t="s">
        <v>316</v>
      </c>
      <c r="B291" t="s">
        <v>30</v>
      </c>
      <c r="C291" t="s">
        <v>19</v>
      </c>
      <c r="D291" s="1">
        <v>0</v>
      </c>
      <c r="E291" t="s">
        <v>20</v>
      </c>
      <c r="F291" t="s">
        <v>21</v>
      </c>
      <c r="G291">
        <v>8333</v>
      </c>
      <c r="H291">
        <v>4000</v>
      </c>
      <c r="I291">
        <v>128</v>
      </c>
      <c r="J291">
        <v>480</v>
      </c>
      <c r="K291">
        <v>1</v>
      </c>
      <c r="L291" t="s">
        <v>22</v>
      </c>
      <c r="M291">
        <f>Table2[[#This Row],[ApplicantIncome]]+Table2[[#This Row],[CoapplicantIncome]]</f>
        <v>12333</v>
      </c>
      <c r="N291">
        <f>Table2[[#This Row],[LoanAmount]]/Table2[[#This Row],[Total_Income ]]</f>
        <v>1.0378658882672505E-2</v>
      </c>
      <c r="O291">
        <f>Table2[[#This Row],[LoanAmount]]/Table2[[#This Row],[Loan_Amount_Term]]</f>
        <v>0.26666666666666666</v>
      </c>
      <c r="P291">
        <f>IF(Table2[[#This Row],[Total_Income ]]&gt;=AVERAGE(Table2[[#This Row],[Total_Income ]]),1,0)</f>
        <v>1</v>
      </c>
    </row>
    <row r="292" spans="1:16">
      <c r="A292" t="s">
        <v>317</v>
      </c>
      <c r="B292" t="s">
        <v>18</v>
      </c>
      <c r="C292" t="s">
        <v>19</v>
      </c>
      <c r="D292" s="1">
        <v>2</v>
      </c>
      <c r="E292" t="s">
        <v>20</v>
      </c>
      <c r="F292" t="s">
        <v>21</v>
      </c>
      <c r="G292">
        <v>3667</v>
      </c>
      <c r="H292">
        <v>2000</v>
      </c>
      <c r="I292">
        <v>84</v>
      </c>
      <c r="J292">
        <v>360</v>
      </c>
      <c r="K292">
        <v>1</v>
      </c>
      <c r="L292" t="s">
        <v>31</v>
      </c>
      <c r="M292">
        <f>Table2[[#This Row],[ApplicantIncome]]+Table2[[#This Row],[CoapplicantIncome]]</f>
        <v>5667</v>
      </c>
      <c r="N292">
        <f>Table2[[#This Row],[LoanAmount]]/Table2[[#This Row],[Total_Income ]]</f>
        <v>1.4822657490735839E-2</v>
      </c>
      <c r="O292">
        <f>Table2[[#This Row],[LoanAmount]]/Table2[[#This Row],[Loan_Amount_Term]]</f>
        <v>0.23333333333333334</v>
      </c>
      <c r="P292">
        <f>IF(Table2[[#This Row],[Total_Income ]]&gt;=AVERAGE(Table2[[#This Row],[Total_Income ]]),1,0)</f>
        <v>1</v>
      </c>
    </row>
    <row r="293" spans="1:16">
      <c r="A293" t="s">
        <v>318</v>
      </c>
      <c r="B293" t="s">
        <v>18</v>
      </c>
      <c r="C293" t="s">
        <v>19</v>
      </c>
      <c r="D293" s="1">
        <v>2</v>
      </c>
      <c r="E293" t="s">
        <v>20</v>
      </c>
      <c r="F293" t="s">
        <v>21</v>
      </c>
      <c r="G293">
        <v>3166</v>
      </c>
      <c r="H293">
        <v>2833</v>
      </c>
      <c r="I293">
        <v>108</v>
      </c>
      <c r="J293">
        <v>360</v>
      </c>
      <c r="K293">
        <v>1</v>
      </c>
      <c r="L293" t="s">
        <v>22</v>
      </c>
      <c r="M293">
        <f>Table2[[#This Row],[ApplicantIncome]]+Table2[[#This Row],[CoapplicantIncome]]</f>
        <v>5999</v>
      </c>
      <c r="N293">
        <f>Table2[[#This Row],[LoanAmount]]/Table2[[#This Row],[Total_Income ]]</f>
        <v>1.8003000500083348E-2</v>
      </c>
      <c r="O293">
        <f>Table2[[#This Row],[LoanAmount]]/Table2[[#This Row],[Loan_Amount_Term]]</f>
        <v>0.3</v>
      </c>
      <c r="P293">
        <f>IF(Table2[[#This Row],[Total_Income ]]&gt;=AVERAGE(Table2[[#This Row],[Total_Income ]]),1,0)</f>
        <v>1</v>
      </c>
    </row>
    <row r="294" spans="1:16">
      <c r="A294" t="s">
        <v>319</v>
      </c>
      <c r="B294" t="s">
        <v>18</v>
      </c>
      <c r="C294" t="s">
        <v>21</v>
      </c>
      <c r="D294" s="1">
        <v>1</v>
      </c>
      <c r="E294" t="s">
        <v>27</v>
      </c>
      <c r="F294" t="s">
        <v>21</v>
      </c>
      <c r="G294">
        <v>3271</v>
      </c>
      <c r="H294">
        <v>0</v>
      </c>
      <c r="I294">
        <v>83</v>
      </c>
      <c r="J294">
        <v>360</v>
      </c>
      <c r="K294">
        <v>1</v>
      </c>
      <c r="L294" t="s">
        <v>33</v>
      </c>
      <c r="M294">
        <f>Table2[[#This Row],[ApplicantIncome]]+Table2[[#This Row],[CoapplicantIncome]]</f>
        <v>3271</v>
      </c>
      <c r="N294">
        <f>Table2[[#This Row],[LoanAmount]]/Table2[[#This Row],[Total_Income ]]</f>
        <v>2.5374503210027516E-2</v>
      </c>
      <c r="O294">
        <f>Table2[[#This Row],[LoanAmount]]/Table2[[#This Row],[Loan_Amount_Term]]</f>
        <v>0.23055555555555557</v>
      </c>
      <c r="P294">
        <f>IF(Table2[[#This Row],[Total_Income ]]&gt;=AVERAGE(Table2[[#This Row],[Total_Income ]]),1,0)</f>
        <v>1</v>
      </c>
    </row>
    <row r="295" spans="1:16">
      <c r="A295" t="s">
        <v>320</v>
      </c>
      <c r="B295" t="s">
        <v>30</v>
      </c>
      <c r="C295" t="s">
        <v>19</v>
      </c>
      <c r="D295" s="1">
        <v>1</v>
      </c>
      <c r="E295" t="s">
        <v>20</v>
      </c>
      <c r="F295" t="s">
        <v>21</v>
      </c>
      <c r="G295">
        <v>2241</v>
      </c>
      <c r="H295">
        <v>2000</v>
      </c>
      <c r="I295">
        <v>117</v>
      </c>
      <c r="J295">
        <v>360</v>
      </c>
      <c r="K295">
        <v>1</v>
      </c>
      <c r="L295" t="s">
        <v>22</v>
      </c>
      <c r="M295">
        <f>Table2[[#This Row],[ApplicantIncome]]+Table2[[#This Row],[CoapplicantIncome]]</f>
        <v>4241</v>
      </c>
      <c r="N295">
        <f>Table2[[#This Row],[LoanAmount]]/Table2[[#This Row],[Total_Income ]]</f>
        <v>2.7587833058240981E-2</v>
      </c>
      <c r="O295">
        <f>Table2[[#This Row],[LoanAmount]]/Table2[[#This Row],[Loan_Amount_Term]]</f>
        <v>0.32500000000000001</v>
      </c>
      <c r="P295">
        <f>IF(Table2[[#This Row],[Total_Income ]]&gt;=AVERAGE(Table2[[#This Row],[Total_Income ]]),1,0)</f>
        <v>1</v>
      </c>
    </row>
    <row r="296" spans="1:16">
      <c r="A296" t="s">
        <v>321</v>
      </c>
      <c r="B296" t="s">
        <v>18</v>
      </c>
      <c r="C296" t="s">
        <v>19</v>
      </c>
      <c r="D296" s="1">
        <v>1</v>
      </c>
      <c r="E296" t="s">
        <v>27</v>
      </c>
      <c r="F296" t="s">
        <v>21</v>
      </c>
      <c r="G296">
        <v>1792</v>
      </c>
      <c r="H296">
        <v>2565</v>
      </c>
      <c r="I296">
        <v>128</v>
      </c>
      <c r="J296">
        <v>360</v>
      </c>
      <c r="K296">
        <v>0</v>
      </c>
      <c r="L296" t="s">
        <v>22</v>
      </c>
      <c r="M296">
        <f>Table2[[#This Row],[ApplicantIncome]]+Table2[[#This Row],[CoapplicantIncome]]</f>
        <v>4357</v>
      </c>
      <c r="N296">
        <f>Table2[[#This Row],[LoanAmount]]/Table2[[#This Row],[Total_Income ]]</f>
        <v>2.937801239384898E-2</v>
      </c>
      <c r="O296">
        <f>Table2[[#This Row],[LoanAmount]]/Table2[[#This Row],[Loan_Amount_Term]]</f>
        <v>0.35555555555555557</v>
      </c>
      <c r="P296">
        <f>IF(Table2[[#This Row],[Total_Income ]]&gt;=AVERAGE(Table2[[#This Row],[Total_Income ]]),1,0)</f>
        <v>1</v>
      </c>
    </row>
    <row r="297" spans="1:16">
      <c r="A297" t="s">
        <v>322</v>
      </c>
      <c r="B297" t="s">
        <v>18</v>
      </c>
      <c r="C297" t="s">
        <v>19</v>
      </c>
      <c r="D297" s="1">
        <v>0</v>
      </c>
      <c r="E297" t="s">
        <v>20</v>
      </c>
      <c r="F297" t="s">
        <v>21</v>
      </c>
      <c r="G297">
        <v>2666</v>
      </c>
      <c r="H297">
        <v>0</v>
      </c>
      <c r="I297">
        <v>75</v>
      </c>
      <c r="J297">
        <v>360</v>
      </c>
      <c r="K297">
        <v>1</v>
      </c>
      <c r="L297" t="s">
        <v>31</v>
      </c>
      <c r="M297">
        <f>Table2[[#This Row],[ApplicantIncome]]+Table2[[#This Row],[CoapplicantIncome]]</f>
        <v>2666</v>
      </c>
      <c r="N297">
        <f>Table2[[#This Row],[LoanAmount]]/Table2[[#This Row],[Total_Income ]]</f>
        <v>2.8132033008252063E-2</v>
      </c>
      <c r="O297">
        <f>Table2[[#This Row],[LoanAmount]]/Table2[[#This Row],[Loan_Amount_Term]]</f>
        <v>0.20833333333333334</v>
      </c>
      <c r="P297">
        <f>IF(Table2[[#This Row],[Total_Income ]]&gt;=AVERAGE(Table2[[#This Row],[Total_Income ]]),1,0)</f>
        <v>1</v>
      </c>
    </row>
    <row r="298" spans="1:16">
      <c r="A298" t="s">
        <v>323</v>
      </c>
      <c r="B298" t="s">
        <v>18</v>
      </c>
      <c r="C298" t="s">
        <v>21</v>
      </c>
      <c r="D298" s="1">
        <v>2</v>
      </c>
      <c r="E298" t="s">
        <v>20</v>
      </c>
      <c r="F298" t="s">
        <v>21</v>
      </c>
      <c r="G298">
        <v>6478</v>
      </c>
      <c r="H298">
        <v>0</v>
      </c>
      <c r="I298">
        <v>125</v>
      </c>
      <c r="J298">
        <v>360</v>
      </c>
      <c r="K298">
        <v>1</v>
      </c>
      <c r="L298" t="s">
        <v>31</v>
      </c>
      <c r="M298">
        <f>Table2[[#This Row],[ApplicantIncome]]+Table2[[#This Row],[CoapplicantIncome]]</f>
        <v>6478</v>
      </c>
      <c r="N298">
        <f>Table2[[#This Row],[LoanAmount]]/Table2[[#This Row],[Total_Income ]]</f>
        <v>1.9296079036739733E-2</v>
      </c>
      <c r="O298">
        <f>Table2[[#This Row],[LoanAmount]]/Table2[[#This Row],[Loan_Amount_Term]]</f>
        <v>0.34722222222222221</v>
      </c>
      <c r="P298">
        <f>IF(Table2[[#This Row],[Total_Income ]]&gt;=AVERAGE(Table2[[#This Row],[Total_Income ]]),1,0)</f>
        <v>1</v>
      </c>
    </row>
    <row r="299" spans="1:16">
      <c r="A299" t="s">
        <v>324</v>
      </c>
      <c r="B299" t="s">
        <v>18</v>
      </c>
      <c r="C299" t="s">
        <v>21</v>
      </c>
      <c r="D299" s="1">
        <v>2</v>
      </c>
      <c r="E299" t="s">
        <v>27</v>
      </c>
      <c r="F299" t="s">
        <v>21</v>
      </c>
      <c r="G299">
        <v>3808</v>
      </c>
      <c r="H299">
        <v>0</v>
      </c>
      <c r="I299">
        <v>177</v>
      </c>
      <c r="J299">
        <v>360</v>
      </c>
      <c r="K299">
        <v>1</v>
      </c>
      <c r="L299" t="s">
        <v>33</v>
      </c>
      <c r="M299">
        <f>Table2[[#This Row],[ApplicantIncome]]+Table2[[#This Row],[CoapplicantIncome]]</f>
        <v>3808</v>
      </c>
      <c r="N299">
        <f>Table2[[#This Row],[LoanAmount]]/Table2[[#This Row],[Total_Income ]]</f>
        <v>4.6481092436974791E-2</v>
      </c>
      <c r="O299">
        <f>Table2[[#This Row],[LoanAmount]]/Table2[[#This Row],[Loan_Amount_Term]]</f>
        <v>0.49166666666666664</v>
      </c>
      <c r="P299">
        <f>IF(Table2[[#This Row],[Total_Income ]]&gt;=AVERAGE(Table2[[#This Row],[Total_Income ]]),1,0)</f>
        <v>1</v>
      </c>
    </row>
    <row r="300" spans="1:16">
      <c r="A300" t="s">
        <v>325</v>
      </c>
      <c r="B300" t="s">
        <v>18</v>
      </c>
      <c r="C300" t="s">
        <v>19</v>
      </c>
      <c r="D300" s="1">
        <v>2</v>
      </c>
      <c r="E300" t="s">
        <v>27</v>
      </c>
      <c r="F300" t="s">
        <v>21</v>
      </c>
      <c r="G300">
        <v>3729</v>
      </c>
      <c r="H300">
        <v>0</v>
      </c>
      <c r="I300">
        <v>68</v>
      </c>
      <c r="J300">
        <v>360</v>
      </c>
      <c r="K300">
        <v>1</v>
      </c>
      <c r="L300" t="s">
        <v>31</v>
      </c>
      <c r="M300">
        <f>Table2[[#This Row],[ApplicantIncome]]+Table2[[#This Row],[CoapplicantIncome]]</f>
        <v>3729</v>
      </c>
      <c r="N300">
        <f>Table2[[#This Row],[LoanAmount]]/Table2[[#This Row],[Total_Income ]]</f>
        <v>1.8235451863770447E-2</v>
      </c>
      <c r="O300">
        <f>Table2[[#This Row],[LoanAmount]]/Table2[[#This Row],[Loan_Amount_Term]]</f>
        <v>0.18888888888888888</v>
      </c>
      <c r="P300">
        <f>IF(Table2[[#This Row],[Total_Income ]]&gt;=AVERAGE(Table2[[#This Row],[Total_Income ]]),1,0)</f>
        <v>1</v>
      </c>
    </row>
    <row r="301" spans="1:16">
      <c r="A301" t="s">
        <v>326</v>
      </c>
      <c r="B301" t="s">
        <v>18</v>
      </c>
      <c r="C301" t="s">
        <v>19</v>
      </c>
      <c r="D301" s="1">
        <v>1</v>
      </c>
      <c r="E301" t="s">
        <v>20</v>
      </c>
      <c r="F301" t="s">
        <v>21</v>
      </c>
      <c r="G301">
        <v>4120</v>
      </c>
      <c r="H301">
        <v>0</v>
      </c>
      <c r="I301">
        <v>96</v>
      </c>
      <c r="J301">
        <v>360</v>
      </c>
      <c r="K301">
        <v>1</v>
      </c>
      <c r="L301" t="s">
        <v>33</v>
      </c>
      <c r="M301">
        <f>Table2[[#This Row],[ApplicantIncome]]+Table2[[#This Row],[CoapplicantIncome]]</f>
        <v>4120</v>
      </c>
      <c r="N301">
        <f>Table2[[#This Row],[LoanAmount]]/Table2[[#This Row],[Total_Income ]]</f>
        <v>2.3300970873786409E-2</v>
      </c>
      <c r="O301">
        <f>Table2[[#This Row],[LoanAmount]]/Table2[[#This Row],[Loan_Amount_Term]]</f>
        <v>0.26666666666666666</v>
      </c>
      <c r="P301">
        <f>IF(Table2[[#This Row],[Total_Income ]]&gt;=AVERAGE(Table2[[#This Row],[Total_Income ]]),1,0)</f>
        <v>1</v>
      </c>
    </row>
    <row r="302" spans="1:16">
      <c r="A302" t="s">
        <v>327</v>
      </c>
      <c r="B302" t="s">
        <v>18</v>
      </c>
      <c r="C302" t="s">
        <v>19</v>
      </c>
      <c r="D302" s="1">
        <v>0</v>
      </c>
      <c r="E302" t="s">
        <v>20</v>
      </c>
      <c r="F302" t="s">
        <v>21</v>
      </c>
      <c r="G302">
        <v>7500</v>
      </c>
      <c r="H302">
        <v>0</v>
      </c>
      <c r="I302">
        <v>180</v>
      </c>
      <c r="J302">
        <v>360</v>
      </c>
      <c r="K302">
        <v>1</v>
      </c>
      <c r="L302" t="s">
        <v>22</v>
      </c>
      <c r="M302">
        <f>Table2[[#This Row],[ApplicantIncome]]+Table2[[#This Row],[CoapplicantIncome]]</f>
        <v>7500</v>
      </c>
      <c r="N302">
        <f>Table2[[#This Row],[LoanAmount]]/Table2[[#This Row],[Total_Income ]]</f>
        <v>2.4E-2</v>
      </c>
      <c r="O302">
        <f>Table2[[#This Row],[LoanAmount]]/Table2[[#This Row],[Loan_Amount_Term]]</f>
        <v>0.5</v>
      </c>
      <c r="P302">
        <f>IF(Table2[[#This Row],[Total_Income ]]&gt;=AVERAGE(Table2[[#This Row],[Total_Income ]]),1,0)</f>
        <v>1</v>
      </c>
    </row>
    <row r="303" spans="1:16">
      <c r="A303" t="s">
        <v>328</v>
      </c>
      <c r="B303" t="s">
        <v>30</v>
      </c>
      <c r="C303" t="s">
        <v>19</v>
      </c>
      <c r="D303" s="1">
        <v>0</v>
      </c>
      <c r="E303" t="s">
        <v>20</v>
      </c>
      <c r="F303" t="s">
        <v>21</v>
      </c>
      <c r="G303">
        <v>6300</v>
      </c>
      <c r="H303">
        <v>0</v>
      </c>
      <c r="I303">
        <v>183</v>
      </c>
      <c r="J303">
        <v>360</v>
      </c>
      <c r="K303">
        <v>1</v>
      </c>
      <c r="L303" t="s">
        <v>22</v>
      </c>
      <c r="M303">
        <f>Table2[[#This Row],[ApplicantIncome]]+Table2[[#This Row],[CoapplicantIncome]]</f>
        <v>6300</v>
      </c>
      <c r="N303">
        <f>Table2[[#This Row],[LoanAmount]]/Table2[[#This Row],[Total_Income ]]</f>
        <v>2.9047619047619048E-2</v>
      </c>
      <c r="O303">
        <f>Table2[[#This Row],[LoanAmount]]/Table2[[#This Row],[Loan_Amount_Term]]</f>
        <v>0.5083333333333333</v>
      </c>
      <c r="P303">
        <f>IF(Table2[[#This Row],[Total_Income ]]&gt;=AVERAGE(Table2[[#This Row],[Total_Income ]]),1,0)</f>
        <v>1</v>
      </c>
    </row>
    <row r="304" spans="1:16">
      <c r="A304" t="s">
        <v>329</v>
      </c>
      <c r="B304" t="s">
        <v>18</v>
      </c>
      <c r="C304" t="s">
        <v>21</v>
      </c>
      <c r="D304" s="1" t="s">
        <v>39</v>
      </c>
      <c r="E304" t="s">
        <v>20</v>
      </c>
      <c r="F304" t="s">
        <v>21</v>
      </c>
      <c r="G304">
        <v>14987</v>
      </c>
      <c r="H304">
        <v>0</v>
      </c>
      <c r="I304">
        <v>121</v>
      </c>
      <c r="J304">
        <v>360</v>
      </c>
      <c r="K304">
        <v>0</v>
      </c>
      <c r="L304" t="s">
        <v>33</v>
      </c>
      <c r="M304">
        <f>Table2[[#This Row],[ApplicantIncome]]+Table2[[#This Row],[CoapplicantIncome]]</f>
        <v>14987</v>
      </c>
      <c r="N304">
        <f>Table2[[#This Row],[LoanAmount]]/Table2[[#This Row],[Total_Income ]]</f>
        <v>8.0736638419963962E-3</v>
      </c>
      <c r="O304">
        <f>Table2[[#This Row],[LoanAmount]]/Table2[[#This Row],[Loan_Amount_Term]]</f>
        <v>0.33611111111111114</v>
      </c>
      <c r="P304">
        <f>IF(Table2[[#This Row],[Total_Income ]]&gt;=AVERAGE(Table2[[#This Row],[Total_Income ]]),1,0)</f>
        <v>1</v>
      </c>
    </row>
    <row r="305" spans="1:16">
      <c r="A305" t="s">
        <v>330</v>
      </c>
      <c r="B305" t="s">
        <v>18</v>
      </c>
      <c r="C305" t="s">
        <v>19</v>
      </c>
      <c r="D305" s="1">
        <v>2</v>
      </c>
      <c r="E305" t="s">
        <v>27</v>
      </c>
      <c r="F305" t="s">
        <v>21</v>
      </c>
      <c r="G305">
        <v>570</v>
      </c>
      <c r="H305">
        <v>2125</v>
      </c>
      <c r="I305">
        <v>162</v>
      </c>
      <c r="J305">
        <v>360</v>
      </c>
      <c r="K305">
        <v>1</v>
      </c>
      <c r="L305" t="s">
        <v>33</v>
      </c>
      <c r="M305">
        <f>Table2[[#This Row],[ApplicantIncome]]+Table2[[#This Row],[CoapplicantIncome]]</f>
        <v>2695</v>
      </c>
      <c r="N305">
        <f>Table2[[#This Row],[LoanAmount]]/Table2[[#This Row],[Total_Income ]]</f>
        <v>6.0111317254174394E-2</v>
      </c>
      <c r="O305">
        <f>Table2[[#This Row],[LoanAmount]]/Table2[[#This Row],[Loan_Amount_Term]]</f>
        <v>0.45</v>
      </c>
      <c r="P305">
        <f>IF(Table2[[#This Row],[Total_Income ]]&gt;=AVERAGE(Table2[[#This Row],[Total_Income ]]),1,0)</f>
        <v>1</v>
      </c>
    </row>
    <row r="306" spans="1:16">
      <c r="A306" t="s">
        <v>331</v>
      </c>
      <c r="B306" t="s">
        <v>30</v>
      </c>
      <c r="C306" t="s">
        <v>19</v>
      </c>
      <c r="D306" s="1">
        <v>0</v>
      </c>
      <c r="E306" t="s">
        <v>20</v>
      </c>
      <c r="F306" t="s">
        <v>21</v>
      </c>
      <c r="G306">
        <v>2600</v>
      </c>
      <c r="H306">
        <v>700</v>
      </c>
      <c r="I306">
        <v>132</v>
      </c>
      <c r="J306">
        <v>360</v>
      </c>
      <c r="K306">
        <v>1</v>
      </c>
      <c r="L306" t="s">
        <v>31</v>
      </c>
      <c r="M306">
        <f>Table2[[#This Row],[ApplicantIncome]]+Table2[[#This Row],[CoapplicantIncome]]</f>
        <v>3300</v>
      </c>
      <c r="N306">
        <f>Table2[[#This Row],[LoanAmount]]/Table2[[#This Row],[Total_Income ]]</f>
        <v>0.04</v>
      </c>
      <c r="O306">
        <f>Table2[[#This Row],[LoanAmount]]/Table2[[#This Row],[Loan_Amount_Term]]</f>
        <v>0.36666666666666664</v>
      </c>
      <c r="P306">
        <f>IF(Table2[[#This Row],[Total_Income ]]&gt;=AVERAGE(Table2[[#This Row],[Total_Income ]]),1,0)</f>
        <v>1</v>
      </c>
    </row>
    <row r="307" spans="1:16">
      <c r="A307" t="s">
        <v>332</v>
      </c>
      <c r="B307" t="s">
        <v>30</v>
      </c>
      <c r="C307" t="s">
        <v>21</v>
      </c>
      <c r="D307" s="1">
        <v>0</v>
      </c>
      <c r="E307" t="s">
        <v>27</v>
      </c>
      <c r="F307" t="s">
        <v>19</v>
      </c>
      <c r="G307">
        <v>2733</v>
      </c>
      <c r="H307">
        <v>1083</v>
      </c>
      <c r="I307">
        <v>147</v>
      </c>
      <c r="J307">
        <v>360</v>
      </c>
      <c r="K307">
        <v>1</v>
      </c>
      <c r="L307" t="s">
        <v>31</v>
      </c>
      <c r="M307">
        <f>Table2[[#This Row],[ApplicantIncome]]+Table2[[#This Row],[CoapplicantIncome]]</f>
        <v>3816</v>
      </c>
      <c r="N307">
        <f>Table2[[#This Row],[LoanAmount]]/Table2[[#This Row],[Total_Income ]]</f>
        <v>3.8522012578616351E-2</v>
      </c>
      <c r="O307">
        <f>Table2[[#This Row],[LoanAmount]]/Table2[[#This Row],[Loan_Amount_Term]]</f>
        <v>0.40833333333333333</v>
      </c>
      <c r="P307">
        <f>IF(Table2[[#This Row],[Total_Income ]]&gt;=AVERAGE(Table2[[#This Row],[Total_Income ]]),1,0)</f>
        <v>1</v>
      </c>
    </row>
    <row r="308" spans="1:16">
      <c r="A308" t="s">
        <v>333</v>
      </c>
      <c r="B308" t="s">
        <v>30</v>
      </c>
      <c r="C308" t="s">
        <v>19</v>
      </c>
      <c r="D308" s="1">
        <v>0</v>
      </c>
      <c r="E308" t="s">
        <v>20</v>
      </c>
      <c r="F308" t="s">
        <v>21</v>
      </c>
      <c r="G308">
        <v>7500</v>
      </c>
      <c r="H308">
        <v>0</v>
      </c>
      <c r="I308">
        <v>153</v>
      </c>
      <c r="J308">
        <v>84</v>
      </c>
      <c r="K308">
        <v>1</v>
      </c>
      <c r="L308" t="s">
        <v>33</v>
      </c>
      <c r="M308">
        <f>Table2[[#This Row],[ApplicantIncome]]+Table2[[#This Row],[CoapplicantIncome]]</f>
        <v>7500</v>
      </c>
      <c r="N308">
        <f>Table2[[#This Row],[LoanAmount]]/Table2[[#This Row],[Total_Income ]]</f>
        <v>2.0400000000000001E-2</v>
      </c>
      <c r="O308">
        <f>Table2[[#This Row],[LoanAmount]]/Table2[[#This Row],[Loan_Amount_Term]]</f>
        <v>1.8214285714285714</v>
      </c>
      <c r="P308">
        <f>IF(Table2[[#This Row],[Total_Income ]]&gt;=AVERAGE(Table2[[#This Row],[Total_Income ]]),1,0)</f>
        <v>1</v>
      </c>
    </row>
    <row r="309" spans="1:16">
      <c r="A309" t="s">
        <v>334</v>
      </c>
      <c r="B309" t="s">
        <v>18</v>
      </c>
      <c r="C309" t="s">
        <v>19</v>
      </c>
      <c r="D309" s="1">
        <v>0</v>
      </c>
      <c r="E309" t="s">
        <v>27</v>
      </c>
      <c r="F309" t="s">
        <v>21</v>
      </c>
      <c r="G309">
        <v>3859</v>
      </c>
      <c r="H309">
        <v>0</v>
      </c>
      <c r="I309">
        <v>104</v>
      </c>
      <c r="J309">
        <v>360</v>
      </c>
      <c r="K309">
        <v>1</v>
      </c>
      <c r="L309" t="s">
        <v>33</v>
      </c>
      <c r="M309">
        <f>Table2[[#This Row],[ApplicantIncome]]+Table2[[#This Row],[CoapplicantIncome]]</f>
        <v>3859</v>
      </c>
      <c r="N309">
        <f>Table2[[#This Row],[LoanAmount]]/Table2[[#This Row],[Total_Income ]]</f>
        <v>2.6949987043275461E-2</v>
      </c>
      <c r="O309">
        <f>Table2[[#This Row],[LoanAmount]]/Table2[[#This Row],[Loan_Amount_Term]]</f>
        <v>0.28888888888888886</v>
      </c>
      <c r="P309">
        <f>IF(Table2[[#This Row],[Total_Income ]]&gt;=AVERAGE(Table2[[#This Row],[Total_Income ]]),1,0)</f>
        <v>1</v>
      </c>
    </row>
    <row r="310" spans="1:16">
      <c r="A310" t="s">
        <v>335</v>
      </c>
      <c r="B310" t="s">
        <v>18</v>
      </c>
      <c r="C310" t="s">
        <v>19</v>
      </c>
      <c r="D310" s="1">
        <v>0</v>
      </c>
      <c r="E310" t="s">
        <v>20</v>
      </c>
      <c r="F310" t="s">
        <v>21</v>
      </c>
      <c r="G310">
        <v>6825</v>
      </c>
      <c r="H310">
        <v>0</v>
      </c>
      <c r="I310">
        <v>149</v>
      </c>
      <c r="J310">
        <v>300</v>
      </c>
      <c r="K310">
        <v>1</v>
      </c>
      <c r="L310" t="s">
        <v>33</v>
      </c>
      <c r="M310">
        <f>Table2[[#This Row],[ApplicantIncome]]+Table2[[#This Row],[CoapplicantIncome]]</f>
        <v>6825</v>
      </c>
      <c r="N310">
        <f>Table2[[#This Row],[LoanAmount]]/Table2[[#This Row],[Total_Income ]]</f>
        <v>2.1831501831501832E-2</v>
      </c>
      <c r="O310">
        <f>Table2[[#This Row],[LoanAmount]]/Table2[[#This Row],[Loan_Amount_Term]]</f>
        <v>0.49666666666666665</v>
      </c>
      <c r="P310">
        <f>IF(Table2[[#This Row],[Total_Income ]]&gt;=AVERAGE(Table2[[#This Row],[Total_Income ]]),1,0)</f>
        <v>1</v>
      </c>
    </row>
    <row r="311" spans="1:16">
      <c r="A311" t="s">
        <v>336</v>
      </c>
      <c r="B311" t="s">
        <v>18</v>
      </c>
      <c r="C311" t="s">
        <v>19</v>
      </c>
      <c r="D311" s="1">
        <v>0</v>
      </c>
      <c r="E311" t="s">
        <v>20</v>
      </c>
      <c r="F311" t="s">
        <v>21</v>
      </c>
      <c r="G311">
        <v>3708</v>
      </c>
      <c r="H311">
        <v>4700</v>
      </c>
      <c r="I311">
        <v>134</v>
      </c>
      <c r="J311">
        <v>180</v>
      </c>
      <c r="K311">
        <v>1</v>
      </c>
      <c r="L311" t="s">
        <v>31</v>
      </c>
      <c r="M311">
        <f>Table2[[#This Row],[ApplicantIncome]]+Table2[[#This Row],[CoapplicantIncome]]</f>
        <v>8408</v>
      </c>
      <c r="N311">
        <f>Table2[[#This Row],[LoanAmount]]/Table2[[#This Row],[Total_Income ]]</f>
        <v>1.5937202664129402E-2</v>
      </c>
      <c r="O311">
        <f>Table2[[#This Row],[LoanAmount]]/Table2[[#This Row],[Loan_Amount_Term]]</f>
        <v>0.74444444444444446</v>
      </c>
      <c r="P311">
        <f>IF(Table2[[#This Row],[Total_Income ]]&gt;=AVERAGE(Table2[[#This Row],[Total_Income ]]),1,0)</f>
        <v>1</v>
      </c>
    </row>
    <row r="312" spans="1:16">
      <c r="A312" t="s">
        <v>337</v>
      </c>
      <c r="B312" t="s">
        <v>30</v>
      </c>
      <c r="C312" t="s">
        <v>21</v>
      </c>
      <c r="D312" s="1">
        <v>1</v>
      </c>
      <c r="E312" t="s">
        <v>20</v>
      </c>
      <c r="F312" t="s">
        <v>21</v>
      </c>
      <c r="G312">
        <v>5314</v>
      </c>
      <c r="H312">
        <v>0</v>
      </c>
      <c r="I312">
        <v>165</v>
      </c>
      <c r="J312">
        <v>360</v>
      </c>
      <c r="K312">
        <v>1</v>
      </c>
      <c r="L312" t="s">
        <v>22</v>
      </c>
      <c r="M312">
        <f>Table2[[#This Row],[ApplicantIncome]]+Table2[[#This Row],[CoapplicantIncome]]</f>
        <v>5314</v>
      </c>
      <c r="N312">
        <f>Table2[[#This Row],[LoanAmount]]/Table2[[#This Row],[Total_Income ]]</f>
        <v>3.10500564546481E-2</v>
      </c>
      <c r="O312">
        <f>Table2[[#This Row],[LoanAmount]]/Table2[[#This Row],[Loan_Amount_Term]]</f>
        <v>0.45833333333333331</v>
      </c>
      <c r="P312">
        <f>IF(Table2[[#This Row],[Total_Income ]]&gt;=AVERAGE(Table2[[#This Row],[Total_Income ]]),1,0)</f>
        <v>1</v>
      </c>
    </row>
    <row r="313" spans="1:16">
      <c r="A313" t="s">
        <v>338</v>
      </c>
      <c r="B313" t="s">
        <v>18</v>
      </c>
      <c r="C313" t="s">
        <v>21</v>
      </c>
      <c r="D313" s="1">
        <v>0</v>
      </c>
      <c r="E313" t="s">
        <v>20</v>
      </c>
      <c r="F313" t="s">
        <v>21</v>
      </c>
      <c r="G313">
        <v>2366</v>
      </c>
      <c r="H313">
        <v>5272</v>
      </c>
      <c r="I313">
        <v>120</v>
      </c>
      <c r="J313">
        <v>360</v>
      </c>
      <c r="K313">
        <v>1</v>
      </c>
      <c r="L313" t="s">
        <v>33</v>
      </c>
      <c r="M313">
        <f>Table2[[#This Row],[ApplicantIncome]]+Table2[[#This Row],[CoapplicantIncome]]</f>
        <v>7638</v>
      </c>
      <c r="N313">
        <f>Table2[[#This Row],[LoanAmount]]/Table2[[#This Row],[Total_Income ]]</f>
        <v>1.5710919088766692E-2</v>
      </c>
      <c r="O313">
        <f>Table2[[#This Row],[LoanAmount]]/Table2[[#This Row],[Loan_Amount_Term]]</f>
        <v>0.33333333333333331</v>
      </c>
      <c r="P313">
        <f>IF(Table2[[#This Row],[Total_Income ]]&gt;=AVERAGE(Table2[[#This Row],[Total_Income ]]),1,0)</f>
        <v>1</v>
      </c>
    </row>
    <row r="314" spans="1:16">
      <c r="A314" t="s">
        <v>339</v>
      </c>
      <c r="B314" t="s">
        <v>18</v>
      </c>
      <c r="C314" t="s">
        <v>21</v>
      </c>
      <c r="D314" s="1" t="s">
        <v>39</v>
      </c>
      <c r="E314" t="s">
        <v>20</v>
      </c>
      <c r="F314" t="s">
        <v>21</v>
      </c>
      <c r="G314">
        <v>2066</v>
      </c>
      <c r="H314">
        <v>2108</v>
      </c>
      <c r="I314">
        <v>67</v>
      </c>
      <c r="J314">
        <v>360</v>
      </c>
      <c r="K314">
        <v>1</v>
      </c>
      <c r="L314" t="s">
        <v>22</v>
      </c>
      <c r="M314">
        <f>Table2[[#This Row],[ApplicantIncome]]+Table2[[#This Row],[CoapplicantIncome]]</f>
        <v>4174</v>
      </c>
      <c r="N314">
        <f>Table2[[#This Row],[LoanAmount]]/Table2[[#This Row],[Total_Income ]]</f>
        <v>1.6051748921897459E-2</v>
      </c>
      <c r="O314">
        <f>Table2[[#This Row],[LoanAmount]]/Table2[[#This Row],[Loan_Amount_Term]]</f>
        <v>0.18611111111111112</v>
      </c>
      <c r="P314">
        <f>IF(Table2[[#This Row],[Total_Income ]]&gt;=AVERAGE(Table2[[#This Row],[Total_Income ]]),1,0)</f>
        <v>1</v>
      </c>
    </row>
    <row r="315" spans="1:16">
      <c r="A315" t="s">
        <v>340</v>
      </c>
      <c r="B315" t="s">
        <v>18</v>
      </c>
      <c r="C315" t="s">
        <v>19</v>
      </c>
      <c r="D315" s="1">
        <v>1</v>
      </c>
      <c r="E315" t="s">
        <v>20</v>
      </c>
      <c r="F315" t="s">
        <v>21</v>
      </c>
      <c r="G315">
        <v>5000</v>
      </c>
      <c r="H315">
        <v>0</v>
      </c>
      <c r="I315">
        <v>125</v>
      </c>
      <c r="J315">
        <v>360</v>
      </c>
      <c r="K315">
        <v>1</v>
      </c>
      <c r="L315" t="s">
        <v>33</v>
      </c>
      <c r="M315">
        <f>Table2[[#This Row],[ApplicantIncome]]+Table2[[#This Row],[CoapplicantIncome]]</f>
        <v>5000</v>
      </c>
      <c r="N315">
        <f>Table2[[#This Row],[LoanAmount]]/Table2[[#This Row],[Total_Income ]]</f>
        <v>2.5000000000000001E-2</v>
      </c>
      <c r="O315">
        <f>Table2[[#This Row],[LoanAmount]]/Table2[[#This Row],[Loan_Amount_Term]]</f>
        <v>0.34722222222222221</v>
      </c>
      <c r="P315">
        <f>IF(Table2[[#This Row],[Total_Income ]]&gt;=AVERAGE(Table2[[#This Row],[Total_Income ]]),1,0)</f>
        <v>1</v>
      </c>
    </row>
    <row r="316" spans="1:16">
      <c r="A316" t="s">
        <v>341</v>
      </c>
      <c r="B316" t="s">
        <v>18</v>
      </c>
      <c r="C316" t="s">
        <v>21</v>
      </c>
      <c r="D316" s="1">
        <v>0</v>
      </c>
      <c r="E316" t="s">
        <v>20</v>
      </c>
      <c r="F316" t="s">
        <v>21</v>
      </c>
      <c r="G316">
        <v>3767</v>
      </c>
      <c r="H316">
        <v>0</v>
      </c>
      <c r="I316">
        <v>120</v>
      </c>
      <c r="J316">
        <v>360</v>
      </c>
      <c r="K316">
        <v>0</v>
      </c>
      <c r="L316" t="s">
        <v>22</v>
      </c>
      <c r="M316">
        <f>Table2[[#This Row],[ApplicantIncome]]+Table2[[#This Row],[CoapplicantIncome]]</f>
        <v>3767</v>
      </c>
      <c r="N316">
        <f>Table2[[#This Row],[LoanAmount]]/Table2[[#This Row],[Total_Income ]]</f>
        <v>3.1855588001061856E-2</v>
      </c>
      <c r="O316">
        <f>Table2[[#This Row],[LoanAmount]]/Table2[[#This Row],[Loan_Amount_Term]]</f>
        <v>0.33333333333333331</v>
      </c>
      <c r="P316">
        <f>IF(Table2[[#This Row],[Total_Income ]]&gt;=AVERAGE(Table2[[#This Row],[Total_Income ]]),1,0)</f>
        <v>1</v>
      </c>
    </row>
    <row r="317" spans="1:16">
      <c r="A317" t="s">
        <v>342</v>
      </c>
      <c r="B317" t="s">
        <v>18</v>
      </c>
      <c r="C317" t="s">
        <v>19</v>
      </c>
      <c r="D317" s="1">
        <v>0</v>
      </c>
      <c r="E317" t="s">
        <v>20</v>
      </c>
      <c r="F317" t="s">
        <v>19</v>
      </c>
      <c r="G317">
        <v>7859</v>
      </c>
      <c r="H317">
        <v>879</v>
      </c>
      <c r="I317">
        <v>148</v>
      </c>
      <c r="J317">
        <v>360</v>
      </c>
      <c r="K317">
        <v>1</v>
      </c>
      <c r="L317" t="s">
        <v>31</v>
      </c>
      <c r="M317">
        <f>Table2[[#This Row],[ApplicantIncome]]+Table2[[#This Row],[CoapplicantIncome]]</f>
        <v>8738</v>
      </c>
      <c r="N317">
        <f>Table2[[#This Row],[LoanAmount]]/Table2[[#This Row],[Total_Income ]]</f>
        <v>1.6937514305333027E-2</v>
      </c>
      <c r="O317">
        <f>Table2[[#This Row],[LoanAmount]]/Table2[[#This Row],[Loan_Amount_Term]]</f>
        <v>0.41111111111111109</v>
      </c>
      <c r="P317">
        <f>IF(Table2[[#This Row],[Total_Income ]]&gt;=AVERAGE(Table2[[#This Row],[Total_Income ]]),1,0)</f>
        <v>1</v>
      </c>
    </row>
    <row r="318" spans="1:16">
      <c r="A318" t="s">
        <v>343</v>
      </c>
      <c r="B318" t="s">
        <v>18</v>
      </c>
      <c r="C318" t="s">
        <v>19</v>
      </c>
      <c r="D318" s="1">
        <v>1</v>
      </c>
      <c r="E318" t="s">
        <v>20</v>
      </c>
      <c r="F318" t="s">
        <v>21</v>
      </c>
      <c r="G318">
        <v>4283</v>
      </c>
      <c r="H318">
        <v>0</v>
      </c>
      <c r="I318">
        <v>181</v>
      </c>
      <c r="J318">
        <v>120</v>
      </c>
      <c r="K318">
        <v>1</v>
      </c>
      <c r="L318" t="s">
        <v>33</v>
      </c>
      <c r="M318">
        <f>Table2[[#This Row],[ApplicantIncome]]+Table2[[#This Row],[CoapplicantIncome]]</f>
        <v>4283</v>
      </c>
      <c r="N318">
        <f>Table2[[#This Row],[LoanAmount]]/Table2[[#This Row],[Total_Income ]]</f>
        <v>4.2260098062106004E-2</v>
      </c>
      <c r="O318">
        <f>Table2[[#This Row],[LoanAmount]]/Table2[[#This Row],[Loan_Amount_Term]]</f>
        <v>1.5083333333333333</v>
      </c>
      <c r="P318">
        <f>IF(Table2[[#This Row],[Total_Income ]]&gt;=AVERAGE(Table2[[#This Row],[Total_Income ]]),1,0)</f>
        <v>1</v>
      </c>
    </row>
    <row r="319" spans="1:16">
      <c r="A319" t="s">
        <v>344</v>
      </c>
      <c r="B319" t="s">
        <v>18</v>
      </c>
      <c r="C319" t="s">
        <v>19</v>
      </c>
      <c r="D319" s="1">
        <v>2</v>
      </c>
      <c r="E319" t="s">
        <v>27</v>
      </c>
      <c r="F319" t="s">
        <v>19</v>
      </c>
      <c r="G319">
        <v>1700</v>
      </c>
      <c r="H319">
        <v>2900</v>
      </c>
      <c r="I319">
        <v>80</v>
      </c>
      <c r="J319">
        <v>360</v>
      </c>
      <c r="K319">
        <v>1</v>
      </c>
      <c r="L319" t="s">
        <v>22</v>
      </c>
      <c r="M319">
        <f>Table2[[#This Row],[ApplicantIncome]]+Table2[[#This Row],[CoapplicantIncome]]</f>
        <v>4600</v>
      </c>
      <c r="N319">
        <f>Table2[[#This Row],[LoanAmount]]/Table2[[#This Row],[Total_Income ]]</f>
        <v>1.7391304347826087E-2</v>
      </c>
      <c r="O319">
        <f>Table2[[#This Row],[LoanAmount]]/Table2[[#This Row],[Loan_Amount_Term]]</f>
        <v>0.22222222222222221</v>
      </c>
      <c r="P319">
        <f>IF(Table2[[#This Row],[Total_Income ]]&gt;=AVERAGE(Table2[[#This Row],[Total_Income ]]),1,0)</f>
        <v>1</v>
      </c>
    </row>
    <row r="320" spans="1:16">
      <c r="A320" t="s">
        <v>345</v>
      </c>
      <c r="B320" t="s">
        <v>18</v>
      </c>
      <c r="C320" t="s">
        <v>21</v>
      </c>
      <c r="D320" s="1" t="s">
        <v>39</v>
      </c>
      <c r="E320" t="s">
        <v>27</v>
      </c>
      <c r="F320" t="s">
        <v>19</v>
      </c>
      <c r="G320">
        <v>4768</v>
      </c>
      <c r="H320">
        <v>0</v>
      </c>
      <c r="I320">
        <v>40</v>
      </c>
      <c r="J320">
        <v>360</v>
      </c>
      <c r="K320">
        <v>1</v>
      </c>
      <c r="L320" t="s">
        <v>33</v>
      </c>
      <c r="M320">
        <f>Table2[[#This Row],[ApplicantIncome]]+Table2[[#This Row],[CoapplicantIncome]]</f>
        <v>4768</v>
      </c>
      <c r="N320">
        <f>Table2[[#This Row],[LoanAmount]]/Table2[[#This Row],[Total_Income ]]</f>
        <v>8.389261744966443E-3</v>
      </c>
      <c r="O320">
        <f>Table2[[#This Row],[LoanAmount]]/Table2[[#This Row],[Loan_Amount_Term]]</f>
        <v>0.1111111111111111</v>
      </c>
      <c r="P320">
        <f>IF(Table2[[#This Row],[Total_Income ]]&gt;=AVERAGE(Table2[[#This Row],[Total_Income ]]),1,0)</f>
        <v>1</v>
      </c>
    </row>
    <row r="321" spans="1:16">
      <c r="A321" t="s">
        <v>346</v>
      </c>
      <c r="B321" t="s">
        <v>18</v>
      </c>
      <c r="C321" t="s">
        <v>21</v>
      </c>
      <c r="D321" s="1">
        <v>1</v>
      </c>
      <c r="E321" t="s">
        <v>20</v>
      </c>
      <c r="F321" t="s">
        <v>21</v>
      </c>
      <c r="G321">
        <v>3083</v>
      </c>
      <c r="H321">
        <v>2738</v>
      </c>
      <c r="I321">
        <v>90</v>
      </c>
      <c r="J321">
        <v>6</v>
      </c>
      <c r="K321">
        <v>1</v>
      </c>
      <c r="L321" t="s">
        <v>22</v>
      </c>
      <c r="M321">
        <f>Table2[[#This Row],[ApplicantIncome]]+Table2[[#This Row],[CoapplicantIncome]]</f>
        <v>5821</v>
      </c>
      <c r="N321">
        <f>Table2[[#This Row],[LoanAmount]]/Table2[[#This Row],[Total_Income ]]</f>
        <v>1.5461260951726508E-2</v>
      </c>
      <c r="O321">
        <f>Table2[[#This Row],[LoanAmount]]/Table2[[#This Row],[Loan_Amount_Term]]</f>
        <v>15</v>
      </c>
      <c r="P321">
        <f>IF(Table2[[#This Row],[Total_Income ]]&gt;=AVERAGE(Table2[[#This Row],[Total_Income ]]),1,0)</f>
        <v>1</v>
      </c>
    </row>
    <row r="322" spans="1:16">
      <c r="A322" t="s">
        <v>347</v>
      </c>
      <c r="B322" t="s">
        <v>18</v>
      </c>
      <c r="C322" t="s">
        <v>19</v>
      </c>
      <c r="D322" s="1">
        <v>0</v>
      </c>
      <c r="E322" t="s">
        <v>20</v>
      </c>
      <c r="F322" t="s">
        <v>21</v>
      </c>
      <c r="G322">
        <v>2667</v>
      </c>
      <c r="H322">
        <v>1542</v>
      </c>
      <c r="I322">
        <v>95</v>
      </c>
      <c r="J322">
        <v>360</v>
      </c>
      <c r="K322">
        <v>1</v>
      </c>
      <c r="L322" t="s">
        <v>33</v>
      </c>
      <c r="M322">
        <f>Table2[[#This Row],[ApplicantIncome]]+Table2[[#This Row],[CoapplicantIncome]]</f>
        <v>4209</v>
      </c>
      <c r="N322">
        <f>Table2[[#This Row],[LoanAmount]]/Table2[[#This Row],[Total_Income ]]</f>
        <v>2.2570681872178665E-2</v>
      </c>
      <c r="O322">
        <f>Table2[[#This Row],[LoanAmount]]/Table2[[#This Row],[Loan_Amount_Term]]</f>
        <v>0.2638888888888889</v>
      </c>
      <c r="P322">
        <f>IF(Table2[[#This Row],[Total_Income ]]&gt;=AVERAGE(Table2[[#This Row],[Total_Income ]]),1,0)</f>
        <v>1</v>
      </c>
    </row>
    <row r="323" spans="1:16">
      <c r="A323" t="s">
        <v>348</v>
      </c>
      <c r="B323" t="s">
        <v>30</v>
      </c>
      <c r="C323" t="s">
        <v>19</v>
      </c>
      <c r="D323" s="1" t="s">
        <v>39</v>
      </c>
      <c r="E323" t="s">
        <v>27</v>
      </c>
      <c r="F323" t="s">
        <v>21</v>
      </c>
      <c r="G323">
        <v>1647</v>
      </c>
      <c r="H323">
        <v>1762</v>
      </c>
      <c r="I323">
        <v>122</v>
      </c>
      <c r="J323">
        <v>360</v>
      </c>
      <c r="K323">
        <v>0</v>
      </c>
      <c r="L323" t="s">
        <v>22</v>
      </c>
      <c r="M323">
        <f>Table2[[#This Row],[ApplicantIncome]]+Table2[[#This Row],[CoapplicantIncome]]</f>
        <v>3409</v>
      </c>
      <c r="N323">
        <f>Table2[[#This Row],[LoanAmount]]/Table2[[#This Row],[Total_Income ]]</f>
        <v>3.5787621003226751E-2</v>
      </c>
      <c r="O323">
        <f>Table2[[#This Row],[LoanAmount]]/Table2[[#This Row],[Loan_Amount_Term]]</f>
        <v>0.33888888888888891</v>
      </c>
      <c r="P323">
        <f>IF(Table2[[#This Row],[Total_Income ]]&gt;=AVERAGE(Table2[[#This Row],[Total_Income ]]),1,0)</f>
        <v>1</v>
      </c>
    </row>
    <row r="324" spans="1:16">
      <c r="A324" t="s">
        <v>349</v>
      </c>
      <c r="B324" t="s">
        <v>30</v>
      </c>
      <c r="C324" t="s">
        <v>19</v>
      </c>
      <c r="D324" s="1">
        <v>1</v>
      </c>
      <c r="E324" t="s">
        <v>20</v>
      </c>
      <c r="F324" t="s">
        <v>21</v>
      </c>
      <c r="G324">
        <v>3400</v>
      </c>
      <c r="H324">
        <v>0</v>
      </c>
      <c r="I324">
        <v>150</v>
      </c>
      <c r="J324">
        <v>360</v>
      </c>
      <c r="K324">
        <v>1</v>
      </c>
      <c r="L324" t="s">
        <v>22</v>
      </c>
      <c r="M324">
        <f>Table2[[#This Row],[ApplicantIncome]]+Table2[[#This Row],[CoapplicantIncome]]</f>
        <v>3400</v>
      </c>
      <c r="N324">
        <f>Table2[[#This Row],[LoanAmount]]/Table2[[#This Row],[Total_Income ]]</f>
        <v>4.4117647058823532E-2</v>
      </c>
      <c r="O324">
        <f>Table2[[#This Row],[LoanAmount]]/Table2[[#This Row],[Loan_Amount_Term]]</f>
        <v>0.41666666666666669</v>
      </c>
      <c r="P324">
        <f>IF(Table2[[#This Row],[Total_Income ]]&gt;=AVERAGE(Table2[[#This Row],[Total_Income ]]),1,0)</f>
        <v>1</v>
      </c>
    </row>
    <row r="325" spans="1:16">
      <c r="A325" t="s">
        <v>350</v>
      </c>
      <c r="B325" t="s">
        <v>18</v>
      </c>
      <c r="C325" t="s">
        <v>21</v>
      </c>
      <c r="D325" s="1">
        <v>0</v>
      </c>
      <c r="E325" t="s">
        <v>20</v>
      </c>
      <c r="F325" t="s">
        <v>21</v>
      </c>
      <c r="G325">
        <v>16000</v>
      </c>
      <c r="H325">
        <v>5000</v>
      </c>
      <c r="I325">
        <v>150</v>
      </c>
      <c r="J325">
        <v>360</v>
      </c>
      <c r="K325">
        <v>1</v>
      </c>
      <c r="L325" t="s">
        <v>31</v>
      </c>
      <c r="M325">
        <f>Table2[[#This Row],[ApplicantIncome]]+Table2[[#This Row],[CoapplicantIncome]]</f>
        <v>21000</v>
      </c>
      <c r="N325">
        <f>Table2[[#This Row],[LoanAmount]]/Table2[[#This Row],[Total_Income ]]</f>
        <v>7.1428571428571426E-3</v>
      </c>
      <c r="O325">
        <f>Table2[[#This Row],[LoanAmount]]/Table2[[#This Row],[Loan_Amount_Term]]</f>
        <v>0.41666666666666669</v>
      </c>
      <c r="P325">
        <f>IF(Table2[[#This Row],[Total_Income ]]&gt;=AVERAGE(Table2[[#This Row],[Total_Income ]]),1,0)</f>
        <v>1</v>
      </c>
    </row>
    <row r="326" spans="1:16">
      <c r="A326" t="s">
        <v>351</v>
      </c>
      <c r="B326" t="s">
        <v>18</v>
      </c>
      <c r="C326" t="s">
        <v>19</v>
      </c>
      <c r="D326" s="1">
        <v>0</v>
      </c>
      <c r="E326" t="s">
        <v>20</v>
      </c>
      <c r="F326" t="s">
        <v>21</v>
      </c>
      <c r="G326">
        <v>5333</v>
      </c>
      <c r="H326">
        <v>0</v>
      </c>
      <c r="I326">
        <v>104</v>
      </c>
      <c r="J326">
        <v>360</v>
      </c>
      <c r="K326">
        <v>1</v>
      </c>
      <c r="L326" t="s">
        <v>33</v>
      </c>
      <c r="M326">
        <f>Table2[[#This Row],[ApplicantIncome]]+Table2[[#This Row],[CoapplicantIncome]]</f>
        <v>5333</v>
      </c>
      <c r="N326">
        <f>Table2[[#This Row],[LoanAmount]]/Table2[[#This Row],[Total_Income ]]</f>
        <v>1.9501218826176635E-2</v>
      </c>
      <c r="O326">
        <f>Table2[[#This Row],[LoanAmount]]/Table2[[#This Row],[Loan_Amount_Term]]</f>
        <v>0.28888888888888886</v>
      </c>
      <c r="P326">
        <f>IF(Table2[[#This Row],[Total_Income ]]&gt;=AVERAGE(Table2[[#This Row],[Total_Income ]]),1,0)</f>
        <v>1</v>
      </c>
    </row>
    <row r="327" spans="1:16">
      <c r="A327" t="s">
        <v>352</v>
      </c>
      <c r="B327" t="s">
        <v>30</v>
      </c>
      <c r="C327" t="s">
        <v>21</v>
      </c>
      <c r="D327" s="1">
        <v>2</v>
      </c>
      <c r="E327" t="s">
        <v>20</v>
      </c>
      <c r="F327" t="s">
        <v>21</v>
      </c>
      <c r="G327">
        <v>2875</v>
      </c>
      <c r="H327">
        <v>2416</v>
      </c>
      <c r="I327">
        <v>143</v>
      </c>
      <c r="J327">
        <v>360</v>
      </c>
      <c r="K327">
        <v>1</v>
      </c>
      <c r="L327" t="s">
        <v>31</v>
      </c>
      <c r="M327">
        <f>Table2[[#This Row],[ApplicantIncome]]+Table2[[#This Row],[CoapplicantIncome]]</f>
        <v>5291</v>
      </c>
      <c r="N327">
        <f>Table2[[#This Row],[LoanAmount]]/Table2[[#This Row],[Total_Income ]]</f>
        <v>2.7027027027027029E-2</v>
      </c>
      <c r="O327">
        <f>Table2[[#This Row],[LoanAmount]]/Table2[[#This Row],[Loan_Amount_Term]]</f>
        <v>0.3972222222222222</v>
      </c>
      <c r="P327">
        <f>IF(Table2[[#This Row],[Total_Income ]]&gt;=AVERAGE(Table2[[#This Row],[Total_Income ]]),1,0)</f>
        <v>1</v>
      </c>
    </row>
    <row r="328" spans="1:16">
      <c r="A328" t="s">
        <v>353</v>
      </c>
      <c r="B328" t="s">
        <v>18</v>
      </c>
      <c r="C328" t="s">
        <v>19</v>
      </c>
      <c r="D328" s="1">
        <v>0</v>
      </c>
      <c r="E328" t="s">
        <v>27</v>
      </c>
      <c r="F328" t="s">
        <v>19</v>
      </c>
      <c r="G328">
        <v>2600</v>
      </c>
      <c r="H328">
        <v>618</v>
      </c>
      <c r="I328">
        <v>300</v>
      </c>
      <c r="J328">
        <v>360</v>
      </c>
      <c r="K328">
        <v>1</v>
      </c>
      <c r="L328" t="s">
        <v>31</v>
      </c>
      <c r="M328">
        <f>Table2[[#This Row],[ApplicantIncome]]+Table2[[#This Row],[CoapplicantIncome]]</f>
        <v>3218</v>
      </c>
      <c r="N328">
        <f>Table2[[#This Row],[LoanAmount]]/Table2[[#This Row],[Total_Income ]]</f>
        <v>9.3225605966438779E-2</v>
      </c>
      <c r="O328">
        <f>Table2[[#This Row],[LoanAmount]]/Table2[[#This Row],[Loan_Amount_Term]]</f>
        <v>0.83333333333333337</v>
      </c>
      <c r="P328">
        <f>IF(Table2[[#This Row],[Total_Income ]]&gt;=AVERAGE(Table2[[#This Row],[Total_Income ]]),1,0)</f>
        <v>1</v>
      </c>
    </row>
    <row r="329" spans="1:16">
      <c r="A329" t="s">
        <v>354</v>
      </c>
      <c r="B329" t="s">
        <v>18</v>
      </c>
      <c r="C329" t="s">
        <v>19</v>
      </c>
      <c r="D329" s="1">
        <v>0</v>
      </c>
      <c r="E329" t="s">
        <v>20</v>
      </c>
      <c r="F329" t="s">
        <v>21</v>
      </c>
      <c r="G329">
        <v>5041</v>
      </c>
      <c r="H329">
        <v>700</v>
      </c>
      <c r="I329">
        <v>171</v>
      </c>
      <c r="J329">
        <v>360</v>
      </c>
      <c r="K329">
        <v>1</v>
      </c>
      <c r="L329" t="s">
        <v>22</v>
      </c>
      <c r="M329">
        <f>Table2[[#This Row],[ApplicantIncome]]+Table2[[#This Row],[CoapplicantIncome]]</f>
        <v>5741</v>
      </c>
      <c r="N329">
        <f>Table2[[#This Row],[LoanAmount]]/Table2[[#This Row],[Total_Income ]]</f>
        <v>2.9785751611217558E-2</v>
      </c>
      <c r="O329">
        <f>Table2[[#This Row],[LoanAmount]]/Table2[[#This Row],[Loan_Amount_Term]]</f>
        <v>0.47499999999999998</v>
      </c>
      <c r="P329">
        <f>IF(Table2[[#This Row],[Total_Income ]]&gt;=AVERAGE(Table2[[#This Row],[Total_Income ]]),1,0)</f>
        <v>1</v>
      </c>
    </row>
    <row r="330" spans="1:16">
      <c r="A330" t="s">
        <v>355</v>
      </c>
      <c r="B330" t="s">
        <v>30</v>
      </c>
      <c r="C330" t="s">
        <v>19</v>
      </c>
      <c r="D330" s="1">
        <v>1</v>
      </c>
      <c r="E330" t="s">
        <v>20</v>
      </c>
      <c r="F330" t="s">
        <v>21</v>
      </c>
      <c r="G330">
        <v>6958</v>
      </c>
      <c r="H330">
        <v>1411</v>
      </c>
      <c r="I330">
        <v>113</v>
      </c>
      <c r="J330">
        <v>360</v>
      </c>
      <c r="K330">
        <v>0</v>
      </c>
      <c r="L330" t="s">
        <v>33</v>
      </c>
      <c r="M330">
        <f>Table2[[#This Row],[ApplicantIncome]]+Table2[[#This Row],[CoapplicantIncome]]</f>
        <v>8369</v>
      </c>
      <c r="N330">
        <f>Table2[[#This Row],[LoanAmount]]/Table2[[#This Row],[Total_Income ]]</f>
        <v>1.3502210538893536E-2</v>
      </c>
      <c r="O330">
        <f>Table2[[#This Row],[LoanAmount]]/Table2[[#This Row],[Loan_Amount_Term]]</f>
        <v>0.31388888888888888</v>
      </c>
      <c r="P330">
        <f>IF(Table2[[#This Row],[Total_Income ]]&gt;=AVERAGE(Table2[[#This Row],[Total_Income ]]),1,0)</f>
        <v>1</v>
      </c>
    </row>
    <row r="331" spans="1:16">
      <c r="A331" t="s">
        <v>356</v>
      </c>
      <c r="B331" t="s">
        <v>18</v>
      </c>
      <c r="C331" t="s">
        <v>19</v>
      </c>
      <c r="D331" s="1">
        <v>0</v>
      </c>
      <c r="E331" t="s">
        <v>20</v>
      </c>
      <c r="F331" t="s">
        <v>21</v>
      </c>
      <c r="G331">
        <v>3500</v>
      </c>
      <c r="H331">
        <v>1658</v>
      </c>
      <c r="I331">
        <v>35</v>
      </c>
      <c r="J331">
        <v>360</v>
      </c>
      <c r="K331">
        <v>1</v>
      </c>
      <c r="L331" t="s">
        <v>31</v>
      </c>
      <c r="M331">
        <f>Table2[[#This Row],[ApplicantIncome]]+Table2[[#This Row],[CoapplicantIncome]]</f>
        <v>5158</v>
      </c>
      <c r="N331">
        <f>Table2[[#This Row],[LoanAmount]]/Table2[[#This Row],[Total_Income ]]</f>
        <v>6.785575804575417E-3</v>
      </c>
      <c r="O331">
        <f>Table2[[#This Row],[LoanAmount]]/Table2[[#This Row],[Loan_Amount_Term]]</f>
        <v>9.7222222222222224E-2</v>
      </c>
      <c r="P331">
        <f>IF(Table2[[#This Row],[Total_Income ]]&gt;=AVERAGE(Table2[[#This Row],[Total_Income ]]),1,0)</f>
        <v>1</v>
      </c>
    </row>
    <row r="332" spans="1:16">
      <c r="A332" t="s">
        <v>357</v>
      </c>
      <c r="B332" t="s">
        <v>18</v>
      </c>
      <c r="C332" t="s">
        <v>19</v>
      </c>
      <c r="D332" s="1">
        <v>0</v>
      </c>
      <c r="E332" t="s">
        <v>20</v>
      </c>
      <c r="F332" t="s">
        <v>21</v>
      </c>
      <c r="G332">
        <v>5509</v>
      </c>
      <c r="H332">
        <v>0</v>
      </c>
      <c r="I332">
        <v>46</v>
      </c>
      <c r="J332">
        <v>360</v>
      </c>
      <c r="K332">
        <v>1</v>
      </c>
      <c r="L332" t="s">
        <v>33</v>
      </c>
      <c r="M332">
        <f>Table2[[#This Row],[ApplicantIncome]]+Table2[[#This Row],[CoapplicantIncome]]</f>
        <v>5509</v>
      </c>
      <c r="N332">
        <f>Table2[[#This Row],[LoanAmount]]/Table2[[#This Row],[Total_Income ]]</f>
        <v>8.3499727718279182E-3</v>
      </c>
      <c r="O332">
        <f>Table2[[#This Row],[LoanAmount]]/Table2[[#This Row],[Loan_Amount_Term]]</f>
        <v>0.12777777777777777</v>
      </c>
      <c r="P332">
        <f>IF(Table2[[#This Row],[Total_Income ]]&gt;=AVERAGE(Table2[[#This Row],[Total_Income ]]),1,0)</f>
        <v>1</v>
      </c>
    </row>
    <row r="333" spans="1:16">
      <c r="A333" t="s">
        <v>358</v>
      </c>
      <c r="B333" t="s">
        <v>18</v>
      </c>
      <c r="C333" t="s">
        <v>19</v>
      </c>
      <c r="D333" s="1">
        <v>0</v>
      </c>
      <c r="E333" t="s">
        <v>20</v>
      </c>
      <c r="F333" t="s">
        <v>21</v>
      </c>
      <c r="G333">
        <v>9699</v>
      </c>
      <c r="H333">
        <v>0</v>
      </c>
      <c r="I333">
        <v>145</v>
      </c>
      <c r="J333">
        <v>360</v>
      </c>
      <c r="K333">
        <v>1</v>
      </c>
      <c r="L333" t="s">
        <v>22</v>
      </c>
      <c r="M333">
        <f>Table2[[#This Row],[ApplicantIncome]]+Table2[[#This Row],[CoapplicantIncome]]</f>
        <v>9699</v>
      </c>
      <c r="N333">
        <f>Table2[[#This Row],[LoanAmount]]/Table2[[#This Row],[Total_Income ]]</f>
        <v>1.4949994844829364E-2</v>
      </c>
      <c r="O333">
        <f>Table2[[#This Row],[LoanAmount]]/Table2[[#This Row],[Loan_Amount_Term]]</f>
        <v>0.40277777777777779</v>
      </c>
      <c r="P333">
        <f>IF(Table2[[#This Row],[Total_Income ]]&gt;=AVERAGE(Table2[[#This Row],[Total_Income ]]),1,0)</f>
        <v>1</v>
      </c>
    </row>
    <row r="334" spans="1:16">
      <c r="A334" t="s">
        <v>359</v>
      </c>
      <c r="B334" t="s">
        <v>18</v>
      </c>
      <c r="C334" t="s">
        <v>19</v>
      </c>
      <c r="D334" s="1" t="s">
        <v>39</v>
      </c>
      <c r="E334" t="s">
        <v>27</v>
      </c>
      <c r="F334" t="s">
        <v>21</v>
      </c>
      <c r="G334">
        <v>3621</v>
      </c>
      <c r="H334">
        <v>2717</v>
      </c>
      <c r="I334">
        <v>119</v>
      </c>
      <c r="J334">
        <v>240</v>
      </c>
      <c r="K334">
        <v>1</v>
      </c>
      <c r="L334" t="s">
        <v>22</v>
      </c>
      <c r="M334">
        <f>Table2[[#This Row],[ApplicantIncome]]+Table2[[#This Row],[CoapplicantIncome]]</f>
        <v>6338</v>
      </c>
      <c r="N334">
        <f>Table2[[#This Row],[LoanAmount]]/Table2[[#This Row],[Total_Income ]]</f>
        <v>1.8775639002840013E-2</v>
      </c>
      <c r="O334">
        <f>Table2[[#This Row],[LoanAmount]]/Table2[[#This Row],[Loan_Amount_Term]]</f>
        <v>0.49583333333333335</v>
      </c>
      <c r="P334">
        <f>IF(Table2[[#This Row],[Total_Income ]]&gt;=AVERAGE(Table2[[#This Row],[Total_Income ]]),1,0)</f>
        <v>1</v>
      </c>
    </row>
    <row r="335" spans="1:16">
      <c r="A335" t="s">
        <v>360</v>
      </c>
      <c r="B335" t="s">
        <v>18</v>
      </c>
      <c r="C335" t="s">
        <v>19</v>
      </c>
      <c r="D335" s="1">
        <v>1</v>
      </c>
      <c r="E335" t="s">
        <v>20</v>
      </c>
      <c r="F335" t="s">
        <v>21</v>
      </c>
      <c r="G335">
        <v>4709</v>
      </c>
      <c r="H335">
        <v>0</v>
      </c>
      <c r="I335">
        <v>87</v>
      </c>
      <c r="J335">
        <v>360</v>
      </c>
      <c r="K335">
        <v>1</v>
      </c>
      <c r="L335" t="s">
        <v>31</v>
      </c>
      <c r="M335">
        <f>Table2[[#This Row],[ApplicantIncome]]+Table2[[#This Row],[CoapplicantIncome]]</f>
        <v>4709</v>
      </c>
      <c r="N335">
        <f>Table2[[#This Row],[LoanAmount]]/Table2[[#This Row],[Total_Income ]]</f>
        <v>1.8475260140157147E-2</v>
      </c>
      <c r="O335">
        <f>Table2[[#This Row],[LoanAmount]]/Table2[[#This Row],[Loan_Amount_Term]]</f>
        <v>0.24166666666666667</v>
      </c>
      <c r="P335">
        <f>IF(Table2[[#This Row],[Total_Income ]]&gt;=AVERAGE(Table2[[#This Row],[Total_Income ]]),1,0)</f>
        <v>1</v>
      </c>
    </row>
    <row r="336" spans="1:16">
      <c r="A336" t="s">
        <v>361</v>
      </c>
      <c r="B336" t="s">
        <v>18</v>
      </c>
      <c r="C336" t="s">
        <v>19</v>
      </c>
      <c r="D336" s="1">
        <v>0</v>
      </c>
      <c r="E336" t="s">
        <v>20</v>
      </c>
      <c r="F336" t="s">
        <v>21</v>
      </c>
      <c r="G336">
        <v>1516</v>
      </c>
      <c r="H336">
        <v>1951</v>
      </c>
      <c r="I336">
        <v>162</v>
      </c>
      <c r="J336">
        <v>180</v>
      </c>
      <c r="K336">
        <v>1</v>
      </c>
      <c r="L336" t="s">
        <v>31</v>
      </c>
      <c r="M336">
        <f>Table2[[#This Row],[ApplicantIncome]]+Table2[[#This Row],[CoapplicantIncome]]</f>
        <v>3467</v>
      </c>
      <c r="N336">
        <f>Table2[[#This Row],[LoanAmount]]/Table2[[#This Row],[Total_Income ]]</f>
        <v>4.6726276319584654E-2</v>
      </c>
      <c r="O336">
        <f>Table2[[#This Row],[LoanAmount]]/Table2[[#This Row],[Loan_Amount_Term]]</f>
        <v>0.9</v>
      </c>
      <c r="P336">
        <f>IF(Table2[[#This Row],[Total_Income ]]&gt;=AVERAGE(Table2[[#This Row],[Total_Income ]]),1,0)</f>
        <v>1</v>
      </c>
    </row>
    <row r="337" spans="1:16">
      <c r="A337" t="s">
        <v>362</v>
      </c>
      <c r="B337" t="s">
        <v>18</v>
      </c>
      <c r="C337" t="s">
        <v>21</v>
      </c>
      <c r="D337" s="1" t="s">
        <v>39</v>
      </c>
      <c r="E337" t="s">
        <v>20</v>
      </c>
      <c r="F337" t="s">
        <v>21</v>
      </c>
      <c r="G337">
        <v>2400</v>
      </c>
      <c r="H337">
        <v>0</v>
      </c>
      <c r="I337">
        <v>122</v>
      </c>
      <c r="J337">
        <v>360</v>
      </c>
      <c r="K337">
        <v>1</v>
      </c>
      <c r="L337" t="s">
        <v>22</v>
      </c>
      <c r="M337">
        <f>Table2[[#This Row],[ApplicantIncome]]+Table2[[#This Row],[CoapplicantIncome]]</f>
        <v>2400</v>
      </c>
      <c r="N337">
        <f>Table2[[#This Row],[LoanAmount]]/Table2[[#This Row],[Total_Income ]]</f>
        <v>5.0833333333333335E-2</v>
      </c>
      <c r="O337">
        <f>Table2[[#This Row],[LoanAmount]]/Table2[[#This Row],[Loan_Amount_Term]]</f>
        <v>0.33888888888888891</v>
      </c>
      <c r="P337">
        <f>IF(Table2[[#This Row],[Total_Income ]]&gt;=AVERAGE(Table2[[#This Row],[Total_Income ]]),1,0)</f>
        <v>1</v>
      </c>
    </row>
    <row r="338" spans="1:16">
      <c r="A338" t="s">
        <v>363</v>
      </c>
      <c r="B338" t="s">
        <v>18</v>
      </c>
      <c r="C338" t="s">
        <v>21</v>
      </c>
      <c r="D338" s="1">
        <v>0</v>
      </c>
      <c r="E338" t="s">
        <v>27</v>
      </c>
      <c r="F338" t="s">
        <v>21</v>
      </c>
      <c r="G338">
        <v>3015</v>
      </c>
      <c r="H338">
        <v>2000</v>
      </c>
      <c r="I338">
        <v>187</v>
      </c>
      <c r="J338">
        <v>180</v>
      </c>
      <c r="K338">
        <v>1</v>
      </c>
      <c r="L338" t="s">
        <v>22</v>
      </c>
      <c r="M338">
        <f>Table2[[#This Row],[ApplicantIncome]]+Table2[[#This Row],[CoapplicantIncome]]</f>
        <v>5015</v>
      </c>
      <c r="N338">
        <f>Table2[[#This Row],[LoanAmount]]/Table2[[#This Row],[Total_Income ]]</f>
        <v>3.7288135593220341E-2</v>
      </c>
      <c r="O338">
        <f>Table2[[#This Row],[LoanAmount]]/Table2[[#This Row],[Loan_Amount_Term]]</f>
        <v>1.038888888888889</v>
      </c>
      <c r="P338">
        <f>IF(Table2[[#This Row],[Total_Income ]]&gt;=AVERAGE(Table2[[#This Row],[Total_Income ]]),1,0)</f>
        <v>1</v>
      </c>
    </row>
    <row r="339" spans="1:16">
      <c r="A339" t="s">
        <v>364</v>
      </c>
      <c r="B339" t="s">
        <v>18</v>
      </c>
      <c r="C339" t="s">
        <v>19</v>
      </c>
      <c r="D339" s="1">
        <v>0</v>
      </c>
      <c r="E339" t="s">
        <v>20</v>
      </c>
      <c r="F339" t="s">
        <v>21</v>
      </c>
      <c r="G339">
        <v>2292</v>
      </c>
      <c r="H339">
        <v>1558</v>
      </c>
      <c r="I339">
        <v>81</v>
      </c>
      <c r="J339">
        <v>360</v>
      </c>
      <c r="K339">
        <v>1</v>
      </c>
      <c r="L339" t="s">
        <v>22</v>
      </c>
      <c r="M339">
        <f>Table2[[#This Row],[ApplicantIncome]]+Table2[[#This Row],[CoapplicantIncome]]</f>
        <v>3850</v>
      </c>
      <c r="N339">
        <f>Table2[[#This Row],[LoanAmount]]/Table2[[#This Row],[Total_Income ]]</f>
        <v>2.1038961038961038E-2</v>
      </c>
      <c r="O339">
        <f>Table2[[#This Row],[LoanAmount]]/Table2[[#This Row],[Loan_Amount_Term]]</f>
        <v>0.22500000000000001</v>
      </c>
      <c r="P339">
        <f>IF(Table2[[#This Row],[Total_Income ]]&gt;=AVERAGE(Table2[[#This Row],[Total_Income ]]),1,0)</f>
        <v>1</v>
      </c>
    </row>
  </sheetData>
  <pageMargins left="0.7" right="0.7" top="0.75" bottom="0.75" header="0.511811023622047" footer="0.511811023622047"/>
  <pageSetup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5</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Descriptive_stats_train</vt:lpstr>
      <vt:lpstr>Corr_matrix_train</vt:lpstr>
      <vt:lpstr>Corr_matrix_test</vt:lpstr>
      <vt:lpstr>descriptive-stats_test</vt:lpstr>
      <vt:lpstr>RA_1_LoanTerm</vt:lpstr>
      <vt:lpstr>Insights and Recommendations</vt:lpstr>
      <vt:lpstr>RA_2_Total_Income</vt:lpstr>
      <vt:lpstr>train</vt:lpstr>
      <vt:lpstr>Visualizations</vt: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Ayesha Ashraf</dc:creator>
  <dc:description/>
  <cp:lastModifiedBy>Ayesha Ashraf</cp:lastModifiedBy>
  <cp:revision>1</cp:revision>
  <cp:lastPrinted>2026-08-08T07:14:51Z</cp:lastPrinted>
  <dcterms:created xsi:type="dcterms:W3CDTF">2026-08-08T07:16:22Z</dcterms:created>
  <dcterms:modified xsi:type="dcterms:W3CDTF">2026-08-09T12:10:25Z</dcterms:modified>
  <dc:language>en-US</dc:language>
</cp:coreProperties>
</file>